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iaoq\Downloads\"/>
    </mc:Choice>
  </mc:AlternateContent>
  <bookViews>
    <workbookView windowWidth="24750" windowHeight="10480" firstSheet="5" activeTab="8"/>
  </bookViews>
  <sheets>
    <sheet name="使用说明" sheetId="1" r:id="rId1"/>
    <sheet name="报名统计表" sheetId="2" r:id="rId2"/>
    <sheet name="分组与队长名单" sheetId="3" r:id="rId3"/>
    <sheet name="预算申报表" sheetId="4" r:id="rId4"/>
    <sheet name="赏金积分规则" sheetId="5" r:id="rId5"/>
    <sheet name="战绩审核清单" sheetId="6" r:id="rId6"/>
    <sheet name="积分排行榜" sheetId="7" r:id="rId7"/>
    <sheet name="应急联系人表" sheetId="8" r:id="rId8"/>
    <sheet name="活动配置自查表" sheetId="9" r:id="rId9"/>
    <sheet name="数据预估与复盘表" sheetId="10" r:id="rId10"/>
    <sheet name="规则待确认清单" sheetId="11" r:id="rId11"/>
    <sheet name="对外发布检查清单" sheetId="12" r:id="rId12"/>
  </sheets>
  <definedNames>
    <definedName name="_xlnm._FilterDatabase" localSheetId="0" hidden="1">使用说明!$A$3:$B$12</definedName>
    <definedName name="_xlnm._FilterDatabase" localSheetId="1" hidden="1">报名统计表!$A$3:$H$27</definedName>
    <definedName name="_xlnm._FilterDatabase" localSheetId="2" hidden="1">分组与队长名单!$A$3:$H$9</definedName>
    <definedName name="_xlnm._FilterDatabase" localSheetId="3" hidden="1">预算申报表!$A$3:$H$10</definedName>
    <definedName name="_xlnm._FilterDatabase" localSheetId="4" hidden="1">赏金积分规则!$A$3:$D$15</definedName>
    <definedName name="_xlnm._FilterDatabase" localSheetId="5" hidden="1">战绩审核清单!$A$3:$D$13</definedName>
    <definedName name="_xlnm._FilterDatabase" localSheetId="6" hidden="1">积分排行榜!$A$3:$G$9</definedName>
    <definedName name="_xlnm._FilterDatabase" localSheetId="7" hidden="1">应急联系人表!$A$3:$E$9</definedName>
    <definedName name="_xlnm._FilterDatabase" localSheetId="8" hidden="1">活动配置自查表!$A$3:$E$12</definedName>
    <definedName name="_xlnm._FilterDatabase" localSheetId="9" hidden="1">数据预估与复盘表!$A$3:$E$13</definedName>
    <definedName name="_xlnm._FilterDatabase" localSheetId="10" hidden="1">规则待确认清单!$A$3:$E$9</definedName>
    <definedName name="_xlnm._FilterDatabase" localSheetId="11" hidden="1">对外发布检查清单!$A$3:$C$12</definedName>
    <definedName name="_xlnm.Print_Titles" localSheetId="0">使用说明!$1:$3</definedName>
    <definedName name="_xlnm.Print_Titles" localSheetId="1">报名统计表!$1:$3</definedName>
    <definedName name="_xlnm.Print_Titles" localSheetId="2">分组与队长名单!$1:$3</definedName>
    <definedName name="_xlnm.Print_Titles" localSheetId="3">预算申报表!$1:$3</definedName>
    <definedName name="_xlnm.Print_Titles" localSheetId="4">赏金积分规则!$1:$3</definedName>
    <definedName name="_xlnm.Print_Titles" localSheetId="5">战绩审核清单!$1:$3</definedName>
    <definedName name="_xlnm.Print_Titles" localSheetId="6">积分排行榜!$1:$3</definedName>
    <definedName name="_xlnm.Print_Titles" localSheetId="7">应急联系人表!$1:$3</definedName>
    <definedName name="_xlnm.Print_Titles" localSheetId="8">活动配置自查表!$1:$3</definedName>
    <definedName name="_xlnm.Print_Titles" localSheetId="9">数据预估与复盘表!$1:$3</definedName>
    <definedName name="_xlnm.Print_Titles" localSheetId="10">规则待确认清单!$1:$3</definedName>
    <definedName name="_xlnm.Print_Titles" localSheetId="11">对外发布检查清单!$1:$3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<sst xmlns="http://schemas.openxmlformats.org/spreadsheetml/2006/main" count="635" uniqueCount="278">
  <si>
    <t>卫戍协议·赏金挑战赛｜运营表格模板</t>
  </si>
  <si>
    <t>依据最新《运营附件汇总》V1.1 整理；活动尚未执行，名单、时间、战绩及实际数据均待填写。</t>
  </si>
  <si>
    <t>项目</t>
  </si>
  <si>
    <t>说明</t>
  </si>
  <si>
    <t>活动规模</t>
  </si>
  <si>
    <t>规划 24 名正式参赛者、6 支队伍，每队 4 人；每队正式挑战两轮。</t>
  </si>
  <si>
    <t>活动玩法</t>
  </si>
  <si>
    <t>卫戍协议·同盟模拟；挑战难度：绝境模拟。</t>
  </si>
  <si>
    <t>积分口径</t>
  </si>
  <si>
    <t>活动积分仅用于本次活动排名，不对应真实金额。每队每日上限 5000 分，统计口径需开赛前确认。</t>
  </si>
  <si>
    <t>审核原则</t>
  </si>
  <si>
    <t>战绩材料经管理员审核通过后，积分才计入排行榜。</t>
  </si>
  <si>
    <t>已确认奖品</t>
  </si>
  <si>
    <t>第一名：明日方舟官方立牌周边×4；第二名：月卡×4；第三名：20元红包×4；荣誉奖：6元红包×12。</t>
  </si>
  <si>
    <t>预算估算</t>
  </si>
  <si>
    <t>奖品预算小计 ¥472；应急预留 ¥100；预算总计 ¥572。单价为估算，正式申报前核价。</t>
  </si>
  <si>
    <t>填写规范</t>
  </si>
  <si>
    <t>表格中的待填写项请按实际筹备情况补全；带公式的金额/总分字段请勿覆盖。</t>
  </si>
  <si>
    <t>发布前重点</t>
  </si>
  <si>
    <t>确认特殊目标名称、荣誉奖名称与条件、5000分上限口径、重复计奖、平分和申诉规则。</t>
  </si>
  <si>
    <t>作品集注意</t>
  </si>
  <si>
    <t>使用“策划目标 / 预计 / 拟采用”等措辞；不得将目标数据写成实际活动成效。</t>
  </si>
  <si>
    <t>报名统计表</t>
  </si>
  <si>
    <t>规划正式参赛名额 24 人；仅收集活动组织所需信息。</t>
  </si>
  <si>
    <t>序号</t>
  </si>
  <si>
    <t>游戏昵称</t>
  </si>
  <si>
    <t>联系方式/群内身份备注</t>
  </si>
  <si>
    <t>可参与时间</t>
  </si>
  <si>
    <t>固定队友</t>
  </si>
  <si>
    <t>报名状态</t>
  </si>
  <si>
    <t>是否候补</t>
  </si>
  <si>
    <t>备注</t>
  </si>
  <si>
    <t/>
  </si>
  <si>
    <t>待审核</t>
  </si>
  <si>
    <t>否</t>
  </si>
  <si>
    <t>分组与队长名单</t>
  </si>
  <si>
    <t>共 6 支队伍，每队 4 人；昵称、队长及轮次时间由负责人确认后填写。</t>
  </si>
  <si>
    <t>队伍</t>
  </si>
  <si>
    <t>队长</t>
  </si>
  <si>
    <t>队员 2</t>
  </si>
  <si>
    <t>队员 3</t>
  </si>
  <si>
    <t>队员 4</t>
  </si>
  <si>
    <t>轮次安排</t>
  </si>
  <si>
    <t>确认状态</t>
  </si>
  <si>
    <t>第 1 队</t>
  </si>
  <si>
    <t>第 1 轮：待安排；第 2 轮：待安排</t>
  </si>
  <si>
    <t>待确认</t>
  </si>
  <si>
    <t>第 2 队</t>
  </si>
  <si>
    <t>第 3 队</t>
  </si>
  <si>
    <t>第 4 队</t>
  </si>
  <si>
    <t>第 5 队</t>
  </si>
  <si>
    <t>第 6 队</t>
  </si>
  <si>
    <t>预算申报表</t>
  </si>
  <si>
    <t>奖品方案按主办方最新确认内容统一；金额为估算，正式申报前需核价。</t>
  </si>
  <si>
    <t>编号</t>
  </si>
  <si>
    <t>奖项/类别</t>
  </si>
  <si>
    <t>预算项目</t>
  </si>
  <si>
    <t>数量</t>
  </si>
  <si>
    <t>预算单价（元）</t>
  </si>
  <si>
    <t>预算小计（元）</t>
  </si>
  <si>
    <t>申报状态</t>
  </si>
  <si>
    <t>B001</t>
  </si>
  <si>
    <t>第一名</t>
  </si>
  <si>
    <t>明日方舟官方立牌周边</t>
  </si>
  <si>
    <t>预算估算，以实际采购价格为准</t>
  </si>
  <si>
    <t>待申报</t>
  </si>
  <si>
    <t>B002</t>
  </si>
  <si>
    <t>第二名</t>
  </si>
  <si>
    <t>月卡</t>
  </si>
  <si>
    <t>预算估算，确认发放方式与实际单价</t>
  </si>
  <si>
    <t>B003</t>
  </si>
  <si>
    <t>第三名</t>
  </si>
  <si>
    <t>20 元红包</t>
  </si>
  <si>
    <t>4 份，每份预算 20 元</t>
  </si>
  <si>
    <t>B004</t>
  </si>
  <si>
    <t>荣誉奖</t>
  </si>
  <si>
    <t>6 元红包</t>
  </si>
  <si>
    <t>12 份；荣誉奖项名称与评选条件待统一</t>
  </si>
  <si>
    <t>B005</t>
  </si>
  <si>
    <t>宣传物料</t>
  </si>
  <si>
    <t>群内电子版宣传物料</t>
  </si>
  <si>
    <t>无预算支出</t>
  </si>
  <si>
    <t>B006</t>
  </si>
  <si>
    <t>应急预留</t>
  </si>
  <si>
    <t>临时补充及不可预见支出</t>
  </si>
  <si>
    <t>预留额度，不代表必须支出；实际支出留存凭证</t>
  </si>
  <si>
    <t>预算总计</t>
  </si>
  <si>
    <t>奖品预算小计 472 元；含应急预留总计 572 元</t>
  </si>
  <si>
    <t>赏金积分规则草案</t>
  </si>
  <si>
    <t>当前为策划案中的规则整理稿；所有口径须在正式开赛前统一确认。</t>
  </si>
  <si>
    <t>挑战目标</t>
  </si>
  <si>
    <t>奖励积分</t>
  </si>
  <si>
    <t>规则备注</t>
  </si>
  <si>
    <t>最终确认状态</t>
  </si>
  <si>
    <t>成功通关</t>
  </si>
  <si>
    <t>每队活动期间仅领取一次；判定以最终规则为准</t>
  </si>
  <si>
    <t>击杀隐藏 Boss</t>
  </si>
  <si>
    <t>隐藏 Boss 定义及判定范围待确认</t>
  </si>
  <si>
    <t>击杀 5 金悬赏目标</t>
  </si>
  <si>
    <t>目标判定以最终规则为准</t>
  </si>
  <si>
    <t>击杀 4 金悬赏目标</t>
  </si>
  <si>
    <t>击杀 3 金悬赏目标</t>
  </si>
  <si>
    <t>击杀「铳」</t>
  </si>
  <si>
    <t>目标名称以最终规则为准</t>
  </si>
  <si>
    <t>击杀「锏」</t>
  </si>
  <si>
    <t>击杀「灼藤」</t>
  </si>
  <si>
    <t>合成一位精锐 6 阶干员</t>
  </si>
  <si>
    <t>具体判定方式待确认</t>
  </si>
  <si>
    <t>任意盟约层数达到 325</t>
  </si>
  <si>
    <t>统计口径待确认</t>
  </si>
  <si>
    <t>任意盟约层数达到 799</t>
  </si>
  <si>
    <t>四人均不损失生命值通关一回合</t>
  </si>
  <si>
    <t>累计最高 750 分</t>
  </si>
  <si>
    <t>战绩审核清单</t>
  </si>
  <si>
    <t>每轮每队可复制一份使用；审核通过后，积分才正式计入排行榜。</t>
  </si>
  <si>
    <t>检查项</t>
  </si>
  <si>
    <t>检查标准</t>
  </si>
  <si>
    <t>结果</t>
  </si>
  <si>
    <t>备注/补充说明</t>
  </si>
  <si>
    <t>材料完整性</t>
  </si>
  <si>
    <t>完整录像、结算截图、申报表和录像时间点齐全</t>
  </si>
  <si>
    <t>录像有效性</t>
  </si>
  <si>
    <t>录像可播放，关键过程可核验</t>
  </si>
  <si>
    <t>截图有效性</t>
  </si>
  <si>
    <t>结算信息清晰，无关键内容缺失</t>
  </si>
  <si>
    <t>目标核验</t>
  </si>
  <si>
    <t>申报目标与录像表现一致</t>
  </si>
  <si>
    <t>次数核验</t>
  </si>
  <si>
    <t>完成次数及重复计奖符合最终规则</t>
  </si>
  <si>
    <t>积分复核</t>
  </si>
  <si>
    <t>按最终规则重新计算申报积分</t>
  </si>
  <si>
    <t>上限核验</t>
  </si>
  <si>
    <t>符合每队每日 5000 分上限的最终口径</t>
  </si>
  <si>
    <t>重复材料检查</t>
  </si>
  <si>
    <t>无重复提交、重复申报或明显违规材料</t>
  </si>
  <si>
    <t>审核结论</t>
  </si>
  <si>
    <t>通过 / 需补充 / 驳回 / 争议处理中</t>
  </si>
  <si>
    <t>待填写</t>
  </si>
  <si>
    <t>审核人及时间</t>
  </si>
  <si>
    <t>记录审核责任人与审核时间</t>
  </si>
  <si>
    <t>积分排行榜模板</t>
  </si>
  <si>
    <t>只填写审核通过的分数；所有争议处理完成后再确认最终排名。</t>
  </si>
  <si>
    <t>暂定序号</t>
  </si>
  <si>
    <t>第一轮审核分</t>
  </si>
  <si>
    <t>第二轮审核分</t>
  </si>
  <si>
    <t>最终审核积分</t>
  </si>
  <si>
    <t>审核状态</t>
  </si>
  <si>
    <t>应急联系人表</t>
  </si>
  <si>
    <t>请使用群内昵称或必要联系渠道，避免收集不必要的个人信息。</t>
  </si>
  <si>
    <t>事项</t>
  </si>
  <si>
    <t>负责人/联系人</t>
  </si>
  <si>
    <t>联系方式或群内识别方式</t>
  </si>
  <si>
    <t>处理职责/方案</t>
  </si>
  <si>
    <t>状态</t>
  </si>
  <si>
    <t>活动总协调</t>
  </si>
  <si>
    <t>统一决策、对外公告和协调资源</t>
  </si>
  <si>
    <t>报名与分组</t>
  </si>
  <si>
    <t>核对报名、候补与队伍信息</t>
  </si>
  <si>
    <t>战绩审核</t>
  </si>
  <si>
    <t>组织材料复核、记录争议</t>
  </si>
  <si>
    <t>积分统计</t>
  </si>
  <si>
    <t>汇总审核积分、复核排名</t>
  </si>
  <si>
    <t>奖品发放</t>
  </si>
  <si>
    <t>核对获奖名单与发放记录</t>
  </si>
  <si>
    <t>技术/网络问题</t>
  </si>
  <si>
    <t>协调延期、补赛或其他处理方案</t>
  </si>
  <si>
    <t>活动配置自查表（模拟运营后台）</t>
  </si>
  <si>
    <t>此表为策划阶段自查模板，不代表真实后台配置或活动已执行。</t>
  </si>
  <si>
    <t>检查模块</t>
  </si>
  <si>
    <t>自查内容</t>
  </si>
  <si>
    <t>预期状态</t>
  </si>
  <si>
    <t>检查结果</t>
  </si>
  <si>
    <t>活动基础信息</t>
  </si>
  <si>
    <t>名称、时间、规则版本已确认</t>
  </si>
  <si>
    <t>信息完整</t>
  </si>
  <si>
    <t>待检查</t>
  </si>
  <si>
    <t>报名配置</t>
  </si>
  <si>
    <t>报名入口、截止时间、人数上限明确</t>
  </si>
  <si>
    <t>可报名</t>
  </si>
  <si>
    <t>分组配置</t>
  </si>
  <si>
    <t>6 队、每队 4 人，队长已指定</t>
  </si>
  <si>
    <t>分组完整</t>
  </si>
  <si>
    <t>积分配置</t>
  </si>
  <si>
    <t>积分项、次数限制、上限口径明确</t>
  </si>
  <si>
    <t>规则一致</t>
  </si>
  <si>
    <t>审核配置</t>
  </si>
  <si>
    <t>材料清单、审核人、申诉流程明确</t>
  </si>
  <si>
    <t>可追溯</t>
  </si>
  <si>
    <t>奖品配置</t>
  </si>
  <si>
    <t>奖项、数量、预算与公告一致</t>
  </si>
  <si>
    <t>方案一致</t>
  </si>
  <si>
    <t>公告配置</t>
  </si>
  <si>
    <t>招募、提醒、规则、结果模板准备完成</t>
  </si>
  <si>
    <t>可发布</t>
  </si>
  <si>
    <t>风险预案</t>
  </si>
  <si>
    <t>联系人及异常处理方案明确</t>
  </si>
  <si>
    <t>可响应</t>
  </si>
  <si>
    <t>数据记录</t>
  </si>
  <si>
    <t>报名、完赛、审核、互动指标有记录方式</t>
  </si>
  <si>
    <t>可复盘</t>
  </si>
  <si>
    <t>数据预估与复盘表</t>
  </si>
  <si>
    <t>目标值是策划预估，不是实际成绩；活动结束后再填写实际值和差异原因。</t>
  </si>
  <si>
    <t>指标</t>
  </si>
  <si>
    <t>目标/预估（策划阶段）</t>
  </si>
  <si>
    <t>计算或记录口径</t>
  </si>
  <si>
    <t>实际值（活动后填写）</t>
  </si>
  <si>
    <t>差异与原因/复盘</t>
  </si>
  <si>
    <t>群总人数</t>
  </si>
  <si>
    <t>200 人</t>
  </si>
  <si>
    <t>活动启动时群人数</t>
  </si>
  <si>
    <t>待复盘</t>
  </si>
  <si>
    <t>正式参赛人数</t>
  </si>
  <si>
    <t>24 人</t>
  </si>
  <si>
    <t>完成报名并确认参赛人数</t>
  </si>
  <si>
    <t>预计参赛比例</t>
  </si>
  <si>
    <t>12%</t>
  </si>
  <si>
    <t>24 ÷ 200</t>
  </si>
  <si>
    <t>完赛率</t>
  </si>
  <si>
    <t>待设定</t>
  </si>
  <si>
    <t>完成规定挑战队伍数 ÷ 参赛队伍数</t>
  </si>
  <si>
    <t>材料按时提交率</t>
  </si>
  <si>
    <t>按时提交队伍数 ÷ 应提交队伍数</t>
  </si>
  <si>
    <t>日均群消息变化</t>
  </si>
  <si>
    <t>较日常基线提升 20%</t>
  </si>
  <si>
    <t>活动期间日均消息量与基线比较；基线需实际采集</t>
  </si>
  <si>
    <t>精彩瞬间/战报内容</t>
  </si>
  <si>
    <t>12 条以上</t>
  </si>
  <si>
    <t>经确认可用于活动展示的内容数</t>
  </si>
  <si>
    <t>人气投票参与人数</t>
  </si>
  <si>
    <t>50 人以上</t>
  </si>
  <si>
    <t>完成有效投票的人数</t>
  </si>
  <si>
    <t>争议处理数量</t>
  </si>
  <si>
    <t>记录实际发生数</t>
  </si>
  <si>
    <t>争议登记表统计</t>
  </si>
  <si>
    <t>奖品预算执行</t>
  </si>
  <si>
    <t>不超过已批预算</t>
  </si>
  <si>
    <t>以实际支出凭证核算</t>
  </si>
  <si>
    <t>规则待确认清单</t>
  </si>
  <si>
    <t>建议在正式公告前逐项关闭；未确认的规则不建议直接进入正式挑战。</t>
  </si>
  <si>
    <t>待确认事项</t>
  </si>
  <si>
    <t>潜在风险</t>
  </si>
  <si>
    <t>建议动作</t>
  </si>
  <si>
    <t>R01</t>
  </si>
  <si>
    <t>特殊目标在策划案不同位置名称不一致</t>
  </si>
  <si>
    <t>参赛者理解不同、审核争议</t>
  </si>
  <si>
    <t>核对游戏内准确名称并统一全文</t>
  </si>
  <si>
    <t>已确认</t>
  </si>
  <si>
    <t>R02</t>
  </si>
  <si>
    <t>荣誉奖名称、评选条件及数量待统一</t>
  </si>
  <si>
    <t>公告与最终评奖口径冲突</t>
  </si>
  <si>
    <t>统一奖项名称、评选条件、数量及是否与排名奖叠加</t>
  </si>
  <si>
    <t>R03</t>
  </si>
  <si>
    <t>每队每日 5000 分上限口径</t>
  </si>
  <si>
    <t>可能出现超额计分争议</t>
  </si>
  <si>
    <t>明确统计周期、超额处理方式</t>
  </si>
  <si>
    <t>R04</t>
  </si>
  <si>
    <t>部分赏金目标能否重复计奖</t>
  </si>
  <si>
    <t>积分核算不一致</t>
  </si>
  <si>
    <t>逐项标明次数限制</t>
  </si>
  <si>
    <t>R05</t>
  </si>
  <si>
    <t>积分平分与申诉机制</t>
  </si>
  <si>
    <t>最终排名可能无法裁定</t>
  </si>
  <si>
    <t>设置优先级、申诉时限及最终裁定人</t>
  </si>
  <si>
    <t>R06</t>
  </si>
  <si>
    <t>材料补交与存储方式</t>
  </si>
  <si>
    <t>证据缺失或无法复核</t>
  </si>
  <si>
    <t>明确截止时间、文件格式、存储位置及访问权限</t>
  </si>
  <si>
    <t>对外发布前检查清单</t>
  </si>
  <si>
    <t>正式发布前逐项检查；未确认事项需继续保留为内部筹备项。</t>
  </si>
  <si>
    <t>活动日期、报名截止时间和联系人已确认</t>
  </si>
  <si>
    <t>24 人、6 队、每队 4 人及每队两轮挑战安排已确认</t>
  </si>
  <si>
    <t>积分目标名称、重复计奖、每日上限、平分和申诉规则已确认</t>
  </si>
  <si>
    <t>排名奖品统一：第一名官方立牌周边×4；第二名月卡×4；第三名 20 元红包×4；荣誉奖 6 元红包×12</t>
  </si>
  <si>
    <t>荣誉奖项名称及评选条件已统一</t>
  </si>
  <si>
    <t>奖品预算、采购/发放方式和应急预留已确认</t>
  </si>
  <si>
    <t>录屏、截图、申报表命名与提交截止时间已确认</t>
  </si>
  <si>
    <t>结果公示模板仅在真实审核完成后填写</t>
  </si>
  <si>
    <t>所有占位符已替换，或明确保留为内部筹备项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</si>
</sst>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26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i/>
      <sz val="10"/>
      <color rgb="FF344A72"/>
      <name val="Microsoft YaHei"/>
      <charset val="134"/>
    </font>
    <font>
      <b/>
      <sz val="11"/>
      <color rgb="FFFFFFFF"/>
      <name val="Microsoft YaHei"/>
      <charset val="134"/>
    </font>
    <font>
      <sz val="10"/>
      <color rgb="FF243044"/>
      <name val="Microsoft YaHei"/>
      <charset val="134"/>
    </font>
    <font>
      <b/>
      <sz val="11"/>
      <color rgb="FF202A44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02A44"/>
        <bgColor indexed="64"/>
      </patternFill>
    </fill>
    <fill>
      <patternFill patternType="solid">
        <fgColor rgb="FFEAF0F8"/>
        <bgColor indexed="64"/>
      </patternFill>
    </fill>
    <fill>
      <patternFill patternType="solid">
        <fgColor rgb="FF344A72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FBF4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DCE7"/>
      </left>
      <right style="thin">
        <color rgb="FFD5DCE7"/>
      </right>
      <top style="thin">
        <color rgb="FFD5DCE7"/>
      </top>
      <bottom style="thin">
        <color rgb="FFD5DC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3" fontId="4" fillId="5" borderId="1" xfId="0" applyNumberFormat="1" applyFont="1" applyFill="1" applyBorder="1" applyAlignment="1">
      <alignment vertical="top" wrapText="1"/>
    </xf>
    <xf numFmtId="176" fontId="4" fillId="0" borderId="1" xfId="0" applyNumberFormat="1" applyFont="1" applyBorder="1" applyAlignment="1">
      <alignment vertical="top" wrapText="1"/>
    </xf>
    <xf numFmtId="176" fontId="4" fillId="5" borderId="1" xfId="0" applyNumberFormat="1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76" fontId="5" fillId="6" borderId="1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A72"/>
    <pageSetUpPr fitToPage="1"/>
  </sheetPr>
  <dimension ref="A1:B12"/>
  <sheetViews>
    <sheetView showGridLines="0" zoomScale="90" zoomScaleNormal="90" workbookViewId="0">
      <pane ySplit="3" topLeftCell="A4" activePane="bottomLeft" state="frozen"/>
      <selection/>
      <selection pane="bottomLeft" activeCell="A1" sqref="A1:B1"/>
    </sheetView>
  </sheetViews>
  <sheetFormatPr defaultColWidth="9" defaultRowHeight="14" outlineLevelCol="1"/>
  <cols>
    <col min="1" max="1" width="22" customWidth="1"/>
    <col min="2" max="2" width="100" customWidth="1"/>
  </cols>
  <sheetData>
    <row r="1" ht="32" customHeight="1" spans="1:2">
      <c r="A1" s="1" t="s">
        <v>0</v>
      </c>
    </row>
    <row r="2" ht="30" customHeight="1" spans="1:2">
      <c r="A2" s="2" t="s">
        <v>1</v>
      </c>
    </row>
    <row r="3" ht="16.5" spans="1:2">
      <c r="A3" s="3" t="s">
        <v>2</v>
      </c>
      <c r="B3" s="3" t="s">
        <v>3</v>
      </c>
    </row>
    <row r="4" ht="32" customHeight="1" spans="1:2">
      <c r="A4" s="4" t="s">
        <v>4</v>
      </c>
      <c r="B4" s="4" t="s">
        <v>5</v>
      </c>
    </row>
    <row r="5" ht="32" customHeight="1" spans="1:2">
      <c r="A5" s="5" t="s">
        <v>6</v>
      </c>
      <c r="B5" s="5" t="s">
        <v>7</v>
      </c>
    </row>
    <row r="6" ht="32" customHeight="1" spans="1:2">
      <c r="A6" s="4" t="s">
        <v>8</v>
      </c>
      <c r="B6" s="4" t="s">
        <v>9</v>
      </c>
    </row>
    <row r="7" ht="32" customHeight="1" spans="1:2">
      <c r="A7" s="5" t="s">
        <v>10</v>
      </c>
      <c r="B7" s="5" t="s">
        <v>11</v>
      </c>
    </row>
    <row r="8" ht="32" customHeight="1" spans="1:2">
      <c r="A8" s="4" t="s">
        <v>12</v>
      </c>
      <c r="B8" s="4" t="s">
        <v>13</v>
      </c>
    </row>
    <row r="9" ht="32" customHeight="1" spans="1:2">
      <c r="A9" s="5" t="s">
        <v>14</v>
      </c>
      <c r="B9" s="5" t="s">
        <v>15</v>
      </c>
    </row>
    <row r="10" ht="32" customHeight="1" spans="1:2">
      <c r="A10" s="4" t="s">
        <v>16</v>
      </c>
      <c r="B10" s="4" t="s">
        <v>17</v>
      </c>
    </row>
    <row r="11" ht="32" customHeight="1" spans="1:2">
      <c r="A11" s="5" t="s">
        <v>18</v>
      </c>
      <c r="B11" s="5" t="s">
        <v>19</v>
      </c>
    </row>
    <row r="12" ht="32" customHeight="1" spans="1:2">
      <c r="A12" s="4" t="s">
        <v>20</v>
      </c>
      <c r="B12" s="4" t="s">
        <v>21</v>
      </c>
    </row>
  </sheetData>
  <autoFilter xmlns:etc="http://www.wps.cn/officeDocument/2017/etCustomData" ref="A3:B12" etc:filterBottomFollowUsedRange="0">
    <extLst/>
  </autoFilter>
  <mergeCells count="2">
    <mergeCell ref="A1:B1"/>
    <mergeCell ref="A2:B2"/>
  </mergeCells>
  <pageMargins left="0.75" right="0.75" top="1" bottom="1" header="0.5" footer="0.5"/>
  <pageSetup paperSize="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A72"/>
    <pageSetUpPr fitToPage="1"/>
  </sheetPr>
  <dimension ref="A1:H27"/>
  <sheetViews>
    <sheetView showGridLines="0" zoomScale="90" zoomScaleNormal="90" workbookViewId="0">
      <pane ySplit="3" topLeftCell="A4" activePane="bottomLeft" state="frozen"/>
      <selection/>
      <selection pane="bottomLeft" activeCell="A1" sqref="A1:H1"/>
    </sheetView>
  </sheetViews>
  <sheetFormatPr defaultColWidth="9" defaultRowHeight="14" outlineLevelCol="7"/>
  <cols>
    <col min="1" max="1" width="8" customWidth="1"/>
    <col min="2" max="2" width="20" customWidth="1"/>
    <col min="3" max="3" width="28" customWidth="1"/>
    <col min="4" max="5" width="22" customWidth="1"/>
    <col min="6" max="6" width="14" customWidth="1"/>
    <col min="7" max="7" width="12" customWidth="1"/>
    <col min="8" max="8" width="28" customWidth="1"/>
  </cols>
  <sheetData>
    <row r="1" ht="32" customHeight="1" spans="1:8">
      <c r="A1" s="1" t="s">
        <v>22</v>
      </c>
    </row>
    <row r="2" ht="30" customHeight="1" spans="1:8">
      <c r="A2" s="2" t="s">
        <v>23</v>
      </c>
    </row>
    <row r="3" ht="16.5" spans="1:8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</row>
    <row r="4" ht="32" customHeight="1" spans="1:8">
      <c r="A4" s="4">
        <v>1</v>
      </c>
      <c r="B4" s="4" t="s">
        <v>32</v>
      </c>
      <c r="C4" s="4" t="s">
        <v>32</v>
      </c>
      <c r="D4" s="4" t="s">
        <v>32</v>
      </c>
      <c r="E4" s="4" t="s">
        <v>32</v>
      </c>
      <c r="F4" s="4" t="s">
        <v>33</v>
      </c>
      <c r="G4" s="4" t="s">
        <v>34</v>
      </c>
      <c r="H4" s="4" t="s">
        <v>32</v>
      </c>
    </row>
    <row r="5" ht="32" customHeight="1" spans="1:8">
      <c r="A5" s="5">
        <v>2</v>
      </c>
      <c r="B5" s="5" t="s">
        <v>32</v>
      </c>
      <c r="C5" s="5" t="s">
        <v>32</v>
      </c>
      <c r="D5" s="5" t="s">
        <v>32</v>
      </c>
      <c r="E5" s="5" t="s">
        <v>32</v>
      </c>
      <c r="F5" s="5" t="s">
        <v>33</v>
      </c>
      <c r="G5" s="5" t="s">
        <v>34</v>
      </c>
      <c r="H5" s="5" t="s">
        <v>32</v>
      </c>
    </row>
    <row r="6" ht="32" customHeight="1" spans="1:8">
      <c r="A6" s="4">
        <v>3</v>
      </c>
      <c r="B6" s="4" t="s">
        <v>32</v>
      </c>
      <c r="C6" s="4" t="s">
        <v>32</v>
      </c>
      <c r="D6" s="4" t="s">
        <v>32</v>
      </c>
      <c r="E6" s="4" t="s">
        <v>32</v>
      </c>
      <c r="F6" s="4" t="s">
        <v>33</v>
      </c>
      <c r="G6" s="4" t="s">
        <v>34</v>
      </c>
      <c r="H6" s="4" t="s">
        <v>32</v>
      </c>
    </row>
    <row r="7" ht="32" customHeight="1" spans="1:8">
      <c r="A7" s="5">
        <v>4</v>
      </c>
      <c r="B7" s="5" t="s">
        <v>32</v>
      </c>
      <c r="C7" s="5" t="s">
        <v>32</v>
      </c>
      <c r="D7" s="5" t="s">
        <v>32</v>
      </c>
      <c r="E7" s="5" t="s">
        <v>32</v>
      </c>
      <c r="F7" s="5" t="s">
        <v>33</v>
      </c>
      <c r="G7" s="5" t="s">
        <v>34</v>
      </c>
      <c r="H7" s="5" t="s">
        <v>32</v>
      </c>
    </row>
    <row r="8" ht="32" customHeight="1" spans="1:8">
      <c r="A8" s="4">
        <v>5</v>
      </c>
      <c r="B8" s="4" t="s">
        <v>32</v>
      </c>
      <c r="C8" s="4" t="s">
        <v>32</v>
      </c>
      <c r="D8" s="4" t="s">
        <v>32</v>
      </c>
      <c r="E8" s="4" t="s">
        <v>32</v>
      </c>
      <c r="F8" s="4" t="s">
        <v>33</v>
      </c>
      <c r="G8" s="4" t="s">
        <v>34</v>
      </c>
      <c r="H8" s="4" t="s">
        <v>32</v>
      </c>
    </row>
    <row r="9" ht="32" customHeight="1" spans="1:8">
      <c r="A9" s="5">
        <v>6</v>
      </c>
      <c r="B9" s="5" t="s">
        <v>32</v>
      </c>
      <c r="C9" s="5" t="s">
        <v>32</v>
      </c>
      <c r="D9" s="5" t="s">
        <v>32</v>
      </c>
      <c r="E9" s="5" t="s">
        <v>32</v>
      </c>
      <c r="F9" s="5" t="s">
        <v>33</v>
      </c>
      <c r="G9" s="5" t="s">
        <v>34</v>
      </c>
      <c r="H9" s="5" t="s">
        <v>32</v>
      </c>
    </row>
    <row r="10" ht="32" customHeight="1" spans="1:8">
      <c r="A10" s="4">
        <v>7</v>
      </c>
      <c r="B10" s="4" t="s">
        <v>32</v>
      </c>
      <c r="C10" s="4" t="s">
        <v>32</v>
      </c>
      <c r="D10" s="4" t="s">
        <v>32</v>
      </c>
      <c r="E10" s="4" t="s">
        <v>32</v>
      </c>
      <c r="F10" s="4" t="s">
        <v>33</v>
      </c>
      <c r="G10" s="4" t="s">
        <v>34</v>
      </c>
      <c r="H10" s="4" t="s">
        <v>32</v>
      </c>
    </row>
    <row r="11" ht="32" customHeight="1" spans="1:8">
      <c r="A11" s="5">
        <v>8</v>
      </c>
      <c r="B11" s="5" t="s">
        <v>32</v>
      </c>
      <c r="C11" s="5" t="s">
        <v>32</v>
      </c>
      <c r="D11" s="5" t="s">
        <v>32</v>
      </c>
      <c r="E11" s="5" t="s">
        <v>32</v>
      </c>
      <c r="F11" s="5" t="s">
        <v>33</v>
      </c>
      <c r="G11" s="5" t="s">
        <v>34</v>
      </c>
      <c r="H11" s="5" t="s">
        <v>32</v>
      </c>
    </row>
    <row r="12" ht="32" customHeight="1" spans="1:8">
      <c r="A12" s="4">
        <v>9</v>
      </c>
      <c r="B12" s="4" t="s">
        <v>32</v>
      </c>
      <c r="C12" s="4" t="s">
        <v>32</v>
      </c>
      <c r="D12" s="4" t="s">
        <v>32</v>
      </c>
      <c r="E12" s="4" t="s">
        <v>32</v>
      </c>
      <c r="F12" s="4" t="s">
        <v>33</v>
      </c>
      <c r="G12" s="4" t="s">
        <v>34</v>
      </c>
      <c r="H12" s="4" t="s">
        <v>32</v>
      </c>
    </row>
    <row r="13" ht="32" customHeight="1" spans="1:8">
      <c r="A13" s="5">
        <v>10</v>
      </c>
      <c r="B13" s="5" t="s">
        <v>32</v>
      </c>
      <c r="C13" s="5" t="s">
        <v>32</v>
      </c>
      <c r="D13" s="5" t="s">
        <v>32</v>
      </c>
      <c r="E13" s="5" t="s">
        <v>32</v>
      </c>
      <c r="F13" s="5" t="s">
        <v>33</v>
      </c>
      <c r="G13" s="5" t="s">
        <v>34</v>
      </c>
      <c r="H13" s="5" t="s">
        <v>32</v>
      </c>
    </row>
    <row r="14" ht="32" customHeight="1" spans="1:8">
      <c r="A14" s="4">
        <v>11</v>
      </c>
      <c r="B14" s="4" t="s">
        <v>32</v>
      </c>
      <c r="C14" s="4" t="s">
        <v>32</v>
      </c>
      <c r="D14" s="4" t="s">
        <v>32</v>
      </c>
      <c r="E14" s="4" t="s">
        <v>32</v>
      </c>
      <c r="F14" s="4" t="s">
        <v>33</v>
      </c>
      <c r="G14" s="4" t="s">
        <v>34</v>
      </c>
      <c r="H14" s="4" t="s">
        <v>32</v>
      </c>
    </row>
    <row r="15" ht="32" customHeight="1" spans="1:8">
      <c r="A15" s="5">
        <v>12</v>
      </c>
      <c r="B15" s="5" t="s">
        <v>32</v>
      </c>
      <c r="C15" s="5" t="s">
        <v>32</v>
      </c>
      <c r="D15" s="5" t="s">
        <v>32</v>
      </c>
      <c r="E15" s="5" t="s">
        <v>32</v>
      </c>
      <c r="F15" s="5" t="s">
        <v>33</v>
      </c>
      <c r="G15" s="5" t="s">
        <v>34</v>
      </c>
      <c r="H15" s="5" t="s">
        <v>32</v>
      </c>
    </row>
    <row r="16" ht="32" customHeight="1" spans="1:8">
      <c r="A16" s="4">
        <v>13</v>
      </c>
      <c r="B16" s="4" t="s">
        <v>32</v>
      </c>
      <c r="C16" s="4" t="s">
        <v>32</v>
      </c>
      <c r="D16" s="4" t="s">
        <v>32</v>
      </c>
      <c r="E16" s="4" t="s">
        <v>32</v>
      </c>
      <c r="F16" s="4" t="s">
        <v>33</v>
      </c>
      <c r="G16" s="4" t="s">
        <v>34</v>
      </c>
      <c r="H16" s="4" t="s">
        <v>32</v>
      </c>
    </row>
    <row r="17" ht="32" customHeight="1" spans="1:8">
      <c r="A17" s="5">
        <v>14</v>
      </c>
      <c r="B17" s="5" t="s">
        <v>32</v>
      </c>
      <c r="C17" s="5" t="s">
        <v>32</v>
      </c>
      <c r="D17" s="5" t="s">
        <v>32</v>
      </c>
      <c r="E17" s="5" t="s">
        <v>32</v>
      </c>
      <c r="F17" s="5" t="s">
        <v>33</v>
      </c>
      <c r="G17" s="5" t="s">
        <v>34</v>
      </c>
      <c r="H17" s="5" t="s">
        <v>32</v>
      </c>
    </row>
    <row r="18" ht="32" customHeight="1" spans="1:8">
      <c r="A18" s="4">
        <v>15</v>
      </c>
      <c r="B18" s="4" t="s">
        <v>32</v>
      </c>
      <c r="C18" s="4" t="s">
        <v>32</v>
      </c>
      <c r="D18" s="4" t="s">
        <v>32</v>
      </c>
      <c r="E18" s="4" t="s">
        <v>32</v>
      </c>
      <c r="F18" s="4" t="s">
        <v>33</v>
      </c>
      <c r="G18" s="4" t="s">
        <v>34</v>
      </c>
      <c r="H18" s="4" t="s">
        <v>32</v>
      </c>
    </row>
    <row r="19" ht="32" customHeight="1" spans="1:8">
      <c r="A19" s="5">
        <v>16</v>
      </c>
      <c r="B19" s="5" t="s">
        <v>32</v>
      </c>
      <c r="C19" s="5" t="s">
        <v>32</v>
      </c>
      <c r="D19" s="5" t="s">
        <v>32</v>
      </c>
      <c r="E19" s="5" t="s">
        <v>32</v>
      </c>
      <c r="F19" s="5" t="s">
        <v>33</v>
      </c>
      <c r="G19" s="5" t="s">
        <v>34</v>
      </c>
      <c r="H19" s="5" t="s">
        <v>32</v>
      </c>
    </row>
    <row r="20" ht="32" customHeight="1" spans="1:8">
      <c r="A20" s="4">
        <v>17</v>
      </c>
      <c r="B20" s="4" t="s">
        <v>32</v>
      </c>
      <c r="C20" s="4" t="s">
        <v>32</v>
      </c>
      <c r="D20" s="4" t="s">
        <v>32</v>
      </c>
      <c r="E20" s="4" t="s">
        <v>32</v>
      </c>
      <c r="F20" s="4" t="s">
        <v>33</v>
      </c>
      <c r="G20" s="4" t="s">
        <v>34</v>
      </c>
      <c r="H20" s="4" t="s">
        <v>32</v>
      </c>
    </row>
    <row r="21" ht="32" customHeight="1" spans="1:8">
      <c r="A21" s="5">
        <v>18</v>
      </c>
      <c r="B21" s="5" t="s">
        <v>32</v>
      </c>
      <c r="C21" s="5" t="s">
        <v>32</v>
      </c>
      <c r="D21" s="5" t="s">
        <v>32</v>
      </c>
      <c r="E21" s="5" t="s">
        <v>32</v>
      </c>
      <c r="F21" s="5" t="s">
        <v>33</v>
      </c>
      <c r="G21" s="5" t="s">
        <v>34</v>
      </c>
      <c r="H21" s="5" t="s">
        <v>32</v>
      </c>
    </row>
    <row r="22" ht="32" customHeight="1" spans="1:8">
      <c r="A22" s="4">
        <v>19</v>
      </c>
      <c r="B22" s="4" t="s">
        <v>32</v>
      </c>
      <c r="C22" s="4" t="s">
        <v>32</v>
      </c>
      <c r="D22" s="4" t="s">
        <v>32</v>
      </c>
      <c r="E22" s="4" t="s">
        <v>32</v>
      </c>
      <c r="F22" s="4" t="s">
        <v>33</v>
      </c>
      <c r="G22" s="4" t="s">
        <v>34</v>
      </c>
      <c r="H22" s="4" t="s">
        <v>32</v>
      </c>
    </row>
    <row r="23" ht="32" customHeight="1" spans="1:8">
      <c r="A23" s="5">
        <v>20</v>
      </c>
      <c r="B23" s="5" t="s">
        <v>32</v>
      </c>
      <c r="C23" s="5" t="s">
        <v>32</v>
      </c>
      <c r="D23" s="5" t="s">
        <v>32</v>
      </c>
      <c r="E23" s="5" t="s">
        <v>32</v>
      </c>
      <c r="F23" s="5" t="s">
        <v>33</v>
      </c>
      <c r="G23" s="5" t="s">
        <v>34</v>
      </c>
      <c r="H23" s="5" t="s">
        <v>32</v>
      </c>
    </row>
    <row r="24" ht="32" customHeight="1" spans="1:8">
      <c r="A24" s="4">
        <v>21</v>
      </c>
      <c r="B24" s="4" t="s">
        <v>32</v>
      </c>
      <c r="C24" s="4" t="s">
        <v>32</v>
      </c>
      <c r="D24" s="4" t="s">
        <v>32</v>
      </c>
      <c r="E24" s="4" t="s">
        <v>32</v>
      </c>
      <c r="F24" s="4" t="s">
        <v>33</v>
      </c>
      <c r="G24" s="4" t="s">
        <v>34</v>
      </c>
      <c r="H24" s="4" t="s">
        <v>32</v>
      </c>
    </row>
    <row r="25" ht="32" customHeight="1" spans="1:8">
      <c r="A25" s="5">
        <v>22</v>
      </c>
      <c r="B25" s="5" t="s">
        <v>32</v>
      </c>
      <c r="C25" s="5" t="s">
        <v>32</v>
      </c>
      <c r="D25" s="5" t="s">
        <v>32</v>
      </c>
      <c r="E25" s="5" t="s">
        <v>32</v>
      </c>
      <c r="F25" s="5" t="s">
        <v>33</v>
      </c>
      <c r="G25" s="5" t="s">
        <v>34</v>
      </c>
      <c r="H25" s="5" t="s">
        <v>32</v>
      </c>
    </row>
    <row r="26" ht="32" customHeight="1" spans="1:8">
      <c r="A26" s="4">
        <v>23</v>
      </c>
      <c r="B26" s="4" t="s">
        <v>32</v>
      </c>
      <c r="C26" s="4" t="s">
        <v>32</v>
      </c>
      <c r="D26" s="4" t="s">
        <v>32</v>
      </c>
      <c r="E26" s="4" t="s">
        <v>32</v>
      </c>
      <c r="F26" s="4" t="s">
        <v>33</v>
      </c>
      <c r="G26" s="4" t="s">
        <v>34</v>
      </c>
      <c r="H26" s="4" t="s">
        <v>32</v>
      </c>
    </row>
    <row r="27" ht="32" customHeight="1" spans="1:8">
      <c r="A27" s="5">
        <v>24</v>
      </c>
      <c r="B27" s="5" t="s">
        <v>32</v>
      </c>
      <c r="C27" s="5" t="s">
        <v>32</v>
      </c>
      <c r="D27" s="5" t="s">
        <v>32</v>
      </c>
      <c r="E27" s="5" t="s">
        <v>32</v>
      </c>
      <c r="F27" s="5" t="s">
        <v>33</v>
      </c>
      <c r="G27" s="5" t="s">
        <v>34</v>
      </c>
      <c r="H27" s="5" t="s">
        <v>32</v>
      </c>
    </row>
  </sheetData>
  <autoFilter xmlns:etc="http://www.wps.cn/officeDocument/2017/etCustomData" ref="A3:H27" etc:filterBottomFollowUsedRange="0">
    <extLst/>
  </autoFilter>
  <mergeCells count="2">
    <mergeCell ref="A1:H1"/>
    <mergeCell ref="A2:H2"/>
  </mergeCells>
  <conditionalFormatting sqref="F4:F27">
    <cfRule type="cellIs" dxfId="0" priority="1" operator="equal">
      <formula>"已确认"</formula>
    </cfRule>
    <cfRule type="cellIs" dxfId="0" priority="2" operator="equal">
      <formula>"已完成"</formula>
    </cfRule>
  </conditionalFormatting>
  <dataValidations count="2">
    <dataValidation type="list" allowBlank="1" sqref="F4:F27">
      <formula1>"待审核,已确认,候补,取消报名"</formula1>
    </dataValidation>
    <dataValidation type="list" allowBlank="1" sqref="G4:G27">
      <formula1>"是,否"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A72"/>
    <pageSetUpPr fitToPage="1"/>
  </sheetPr>
  <dimension ref="A1:H9"/>
  <sheetViews>
    <sheetView showGridLines="0" zoomScale="90" zoomScaleNormal="90" workbookViewId="0">
      <pane ySplit="3" topLeftCell="A4" activePane="bottomLeft" state="frozen"/>
      <selection/>
      <selection pane="bottomLeft" activeCell="A1" sqref="A1:H1"/>
    </sheetView>
  </sheetViews>
  <sheetFormatPr defaultColWidth="9" defaultRowHeight="14" outlineLevelCol="7"/>
  <cols>
    <col min="1" max="1" width="14" customWidth="1"/>
    <col min="2" max="5" width="20" customWidth="1"/>
    <col min="6" max="6" width="34" customWidth="1"/>
    <col min="7" max="7" width="14" customWidth="1"/>
    <col min="8" max="8" width="24" customWidth="1"/>
  </cols>
  <sheetData>
    <row r="1" ht="32" customHeight="1" spans="1:8">
      <c r="A1" s="1" t="s">
        <v>35</v>
      </c>
    </row>
    <row r="2" ht="30" customHeight="1" spans="1:8">
      <c r="A2" s="2" t="s">
        <v>36</v>
      </c>
    </row>
    <row r="3" ht="16.5" spans="1:8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31</v>
      </c>
    </row>
    <row r="4" ht="32" customHeight="1" spans="1:8">
      <c r="A4" s="4" t="s">
        <v>44</v>
      </c>
      <c r="B4" s="4" t="s">
        <v>32</v>
      </c>
      <c r="C4" s="4" t="s">
        <v>32</v>
      </c>
      <c r="D4" s="4" t="s">
        <v>32</v>
      </c>
      <c r="E4" s="4" t="s">
        <v>32</v>
      </c>
      <c r="F4" s="4" t="s">
        <v>45</v>
      </c>
      <c r="G4" s="4" t="s">
        <v>46</v>
      </c>
      <c r="H4" s="4" t="s">
        <v>32</v>
      </c>
    </row>
    <row r="5" ht="32" customHeight="1" spans="1:8">
      <c r="A5" s="5" t="s">
        <v>47</v>
      </c>
      <c r="B5" s="5" t="s">
        <v>32</v>
      </c>
      <c r="C5" s="5" t="s">
        <v>32</v>
      </c>
      <c r="D5" s="5" t="s">
        <v>32</v>
      </c>
      <c r="E5" s="5" t="s">
        <v>32</v>
      </c>
      <c r="F5" s="5" t="s">
        <v>45</v>
      </c>
      <c r="G5" s="5" t="s">
        <v>46</v>
      </c>
      <c r="H5" s="5" t="s">
        <v>32</v>
      </c>
    </row>
    <row r="6" ht="32" customHeight="1" spans="1:8">
      <c r="A6" s="4" t="s">
        <v>48</v>
      </c>
      <c r="B6" s="4" t="s">
        <v>32</v>
      </c>
      <c r="C6" s="4" t="s">
        <v>32</v>
      </c>
      <c r="D6" s="4" t="s">
        <v>32</v>
      </c>
      <c r="E6" s="4" t="s">
        <v>32</v>
      </c>
      <c r="F6" s="4" t="s">
        <v>45</v>
      </c>
      <c r="G6" s="4" t="s">
        <v>46</v>
      </c>
      <c r="H6" s="4" t="s">
        <v>32</v>
      </c>
    </row>
    <row r="7" ht="32" customHeight="1" spans="1:8">
      <c r="A7" s="5" t="s">
        <v>49</v>
      </c>
      <c r="B7" s="5" t="s">
        <v>32</v>
      </c>
      <c r="C7" s="5" t="s">
        <v>32</v>
      </c>
      <c r="D7" s="5" t="s">
        <v>32</v>
      </c>
      <c r="E7" s="5" t="s">
        <v>32</v>
      </c>
      <c r="F7" s="5" t="s">
        <v>45</v>
      </c>
      <c r="G7" s="5" t="s">
        <v>46</v>
      </c>
      <c r="H7" s="5" t="s">
        <v>32</v>
      </c>
    </row>
    <row r="8" ht="32" customHeight="1" spans="1:8">
      <c r="A8" s="4" t="s">
        <v>50</v>
      </c>
      <c r="B8" s="4" t="s">
        <v>32</v>
      </c>
      <c r="C8" s="4" t="s">
        <v>32</v>
      </c>
      <c r="D8" s="4" t="s">
        <v>32</v>
      </c>
      <c r="E8" s="4" t="s">
        <v>32</v>
      </c>
      <c r="F8" s="4" t="s">
        <v>45</v>
      </c>
      <c r="G8" s="4" t="s">
        <v>46</v>
      </c>
      <c r="H8" s="4" t="s">
        <v>32</v>
      </c>
    </row>
    <row r="9" ht="32" customHeight="1" spans="1:8">
      <c r="A9" s="5" t="s">
        <v>51</v>
      </c>
      <c r="B9" s="5" t="s">
        <v>32</v>
      </c>
      <c r="C9" s="5" t="s">
        <v>32</v>
      </c>
      <c r="D9" s="5" t="s">
        <v>32</v>
      </c>
      <c r="E9" s="5" t="s">
        <v>32</v>
      </c>
      <c r="F9" s="5" t="s">
        <v>45</v>
      </c>
      <c r="G9" s="5" t="s">
        <v>46</v>
      </c>
      <c r="H9" s="5" t="s">
        <v>32</v>
      </c>
    </row>
  </sheetData>
  <autoFilter xmlns:etc="http://www.wps.cn/officeDocument/2017/etCustomData" ref="A3:H9" etc:filterBottomFollowUsedRange="0">
    <extLst/>
  </autoFilter>
  <mergeCells count="2">
    <mergeCell ref="A1:H1"/>
    <mergeCell ref="A2:H2"/>
  </mergeCells>
  <conditionalFormatting sqref="G4:G9">
    <cfRule type="cellIs" dxfId="0" priority="1" operator="equal">
      <formula>"已确认"</formula>
    </cfRule>
    <cfRule type="cellIs" dxfId="0" priority="2" operator="equal">
      <formula>"已完成"</formula>
    </cfRule>
  </conditionalFormatting>
  <dataValidations count="1">
    <dataValidation type="list" allowBlank="1" sqref="G4:G9">
      <formula1>"待确认,已确认,需调整"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A72"/>
    <pageSetUpPr fitToPage="1"/>
  </sheetPr>
  <dimension ref="A1:H10"/>
  <sheetViews>
    <sheetView showGridLines="0" zoomScale="90" zoomScaleNormal="90" workbookViewId="0">
      <pane ySplit="3" topLeftCell="A4" activePane="bottomLeft" state="frozen"/>
      <selection/>
      <selection pane="bottomLeft" activeCell="A1" sqref="A1:H1"/>
    </sheetView>
  </sheetViews>
  <sheetFormatPr defaultColWidth="9" defaultRowHeight="14" outlineLevelCol="7"/>
  <cols>
    <col min="1" max="1" width="12" customWidth="1"/>
    <col min="2" max="2" width="16" customWidth="1"/>
    <col min="3" max="3" width="30" customWidth="1"/>
    <col min="4" max="4" width="10" customWidth="1"/>
    <col min="5" max="6" width="18" customWidth="1"/>
    <col min="7" max="7" width="52" customWidth="1"/>
    <col min="8" max="8" width="14" customWidth="1"/>
  </cols>
  <sheetData>
    <row r="1" ht="32" customHeight="1" spans="1:8">
      <c r="A1" s="1" t="s">
        <v>52</v>
      </c>
    </row>
    <row r="2" ht="30" customHeight="1" spans="1:8">
      <c r="A2" s="2" t="s">
        <v>53</v>
      </c>
    </row>
    <row r="3" ht="16.5" spans="1:8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3</v>
      </c>
      <c r="H3" s="3" t="s">
        <v>60</v>
      </c>
    </row>
    <row r="4" ht="32" customHeight="1" spans="1:8">
      <c r="A4" s="4" t="s">
        <v>61</v>
      </c>
      <c r="B4" s="4" t="s">
        <v>62</v>
      </c>
      <c r="C4" s="4" t="s">
        <v>63</v>
      </c>
      <c r="D4" s="4">
        <v>4</v>
      </c>
      <c r="E4" s="8">
        <v>50</v>
      </c>
      <c r="F4" s="8">
        <f t="shared" ref="F4:F9" si="0">D4*E4</f>
        <v>200</v>
      </c>
      <c r="G4" s="4" t="s">
        <v>64</v>
      </c>
      <c r="H4" s="4" t="s">
        <v>65</v>
      </c>
    </row>
    <row r="5" ht="32" customHeight="1" spans="1:8">
      <c r="A5" s="5" t="s">
        <v>66</v>
      </c>
      <c r="B5" s="5" t="s">
        <v>67</v>
      </c>
      <c r="C5" s="5" t="s">
        <v>68</v>
      </c>
      <c r="D5" s="5">
        <v>4</v>
      </c>
      <c r="E5" s="9">
        <v>30</v>
      </c>
      <c r="F5" s="9">
        <f t="shared" si="0"/>
        <v>120</v>
      </c>
      <c r="G5" s="5" t="s">
        <v>69</v>
      </c>
      <c r="H5" s="5" t="s">
        <v>65</v>
      </c>
    </row>
    <row r="6" ht="32" customHeight="1" spans="1:8">
      <c r="A6" s="4" t="s">
        <v>70</v>
      </c>
      <c r="B6" s="4" t="s">
        <v>71</v>
      </c>
      <c r="C6" s="4" t="s">
        <v>72</v>
      </c>
      <c r="D6" s="4">
        <v>4</v>
      </c>
      <c r="E6" s="8">
        <v>20</v>
      </c>
      <c r="F6" s="8">
        <f t="shared" si="0"/>
        <v>80</v>
      </c>
      <c r="G6" s="4" t="s">
        <v>73</v>
      </c>
      <c r="H6" s="4" t="s">
        <v>65</v>
      </c>
    </row>
    <row r="7" ht="32" customHeight="1" spans="1:8">
      <c r="A7" s="5" t="s">
        <v>74</v>
      </c>
      <c r="B7" s="5" t="s">
        <v>75</v>
      </c>
      <c r="C7" s="5" t="s">
        <v>76</v>
      </c>
      <c r="D7" s="5">
        <v>12</v>
      </c>
      <c r="E7" s="9">
        <v>6</v>
      </c>
      <c r="F7" s="9">
        <f t="shared" si="0"/>
        <v>72</v>
      </c>
      <c r="G7" s="5" t="s">
        <v>77</v>
      </c>
      <c r="H7" s="5" t="s">
        <v>65</v>
      </c>
    </row>
    <row r="8" ht="32" customHeight="1" spans="1:8">
      <c r="A8" s="4" t="s">
        <v>78</v>
      </c>
      <c r="B8" s="4" t="s">
        <v>79</v>
      </c>
      <c r="C8" s="4" t="s">
        <v>80</v>
      </c>
      <c r="D8" s="4">
        <v>1</v>
      </c>
      <c r="E8" s="8">
        <v>0</v>
      </c>
      <c r="F8" s="8">
        <f t="shared" si="0"/>
        <v>0</v>
      </c>
      <c r="G8" s="4" t="s">
        <v>81</v>
      </c>
      <c r="H8" s="4" t="s">
        <v>65</v>
      </c>
    </row>
    <row r="9" ht="32" customHeight="1" spans="1:8">
      <c r="A9" s="5" t="s">
        <v>82</v>
      </c>
      <c r="B9" s="5" t="s">
        <v>83</v>
      </c>
      <c r="C9" s="5" t="s">
        <v>84</v>
      </c>
      <c r="D9" s="5">
        <v>1</v>
      </c>
      <c r="E9" s="9">
        <v>100</v>
      </c>
      <c r="F9" s="9">
        <f t="shared" si="0"/>
        <v>100</v>
      </c>
      <c r="G9" s="5" t="s">
        <v>85</v>
      </c>
      <c r="H9" s="5" t="s">
        <v>65</v>
      </c>
    </row>
    <row r="10" ht="32" customHeight="1" spans="1:8">
      <c r="A10" s="10" t="s">
        <v>32</v>
      </c>
      <c r="B10" s="10" t="s">
        <v>32</v>
      </c>
      <c r="C10" s="10" t="s">
        <v>86</v>
      </c>
      <c r="D10" s="10" t="s">
        <v>32</v>
      </c>
      <c r="E10" s="10" t="s">
        <v>32</v>
      </c>
      <c r="F10" s="11">
        <f>SUM(F4:F9)</f>
        <v>572</v>
      </c>
      <c r="G10" s="10" t="s">
        <v>87</v>
      </c>
      <c r="H10" s="10" t="s">
        <v>32</v>
      </c>
    </row>
  </sheetData>
  <autoFilter xmlns:etc="http://www.wps.cn/officeDocument/2017/etCustomData" ref="A3:H10" etc:filterBottomFollowUsedRange="0">
    <extLst/>
  </autoFilter>
  <mergeCells count="2">
    <mergeCell ref="A1:H1"/>
    <mergeCell ref="A2:H2"/>
  </mergeCells>
  <dataValidations count="1">
    <dataValidation type="list" allowBlank="1" sqref="H4:H9">
      <formula1>"待申报,已申报,已批准,已采购,已发放,不适用"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A72"/>
    <pageSetUpPr fitToPage="1"/>
  </sheetPr>
  <dimension ref="A1:D15"/>
  <sheetViews>
    <sheetView showGridLines="0" zoomScale="90" zoomScaleNormal="90" workbookViewId="0">
      <pane ySplit="3" topLeftCell="A4" activePane="bottomLeft" state="frozen"/>
      <selection/>
      <selection pane="bottomLeft" activeCell="C15" sqref="C15"/>
    </sheetView>
  </sheetViews>
  <sheetFormatPr defaultColWidth="9" defaultRowHeight="14" outlineLevelCol="3"/>
  <cols>
    <col min="1" max="1" width="38" customWidth="1"/>
    <col min="2" max="2" width="14" customWidth="1"/>
    <col min="3" max="3" width="70" customWidth="1"/>
    <col min="4" max="4" width="18" customWidth="1"/>
  </cols>
  <sheetData>
    <row r="1" ht="32" customHeight="1" spans="1:4">
      <c r="A1" s="1" t="s">
        <v>88</v>
      </c>
    </row>
    <row r="2" ht="30" customHeight="1" spans="1:4">
      <c r="A2" s="2" t="s">
        <v>89</v>
      </c>
    </row>
    <row r="3" ht="16.5" spans="1:4">
      <c r="A3" s="3" t="s">
        <v>90</v>
      </c>
      <c r="B3" s="3" t="s">
        <v>91</v>
      </c>
      <c r="C3" s="3" t="s">
        <v>92</v>
      </c>
      <c r="D3" s="3" t="s">
        <v>93</v>
      </c>
    </row>
    <row r="4" ht="32" customHeight="1" spans="1:4">
      <c r="A4" s="4" t="s">
        <v>94</v>
      </c>
      <c r="B4" s="4">
        <v>2500</v>
      </c>
      <c r="C4" s="4" t="s">
        <v>95</v>
      </c>
      <c r="D4" s="4" t="s">
        <v>46</v>
      </c>
    </row>
    <row r="5" ht="32" customHeight="1" spans="1:4">
      <c r="A5" s="5" t="s">
        <v>96</v>
      </c>
      <c r="B5" s="5">
        <v>500</v>
      </c>
      <c r="C5" s="5" t="s">
        <v>97</v>
      </c>
      <c r="D5" s="5" t="s">
        <v>46</v>
      </c>
    </row>
    <row r="6" ht="32" customHeight="1" spans="1:4">
      <c r="A6" s="4" t="s">
        <v>98</v>
      </c>
      <c r="B6" s="4">
        <v>200</v>
      </c>
      <c r="C6" s="4" t="s">
        <v>99</v>
      </c>
      <c r="D6" s="4" t="s">
        <v>46</v>
      </c>
    </row>
    <row r="7" ht="32" customHeight="1" spans="1:4">
      <c r="A7" s="5" t="s">
        <v>100</v>
      </c>
      <c r="B7" s="5">
        <v>150</v>
      </c>
      <c r="C7" s="5" t="s">
        <v>99</v>
      </c>
      <c r="D7" s="5" t="s">
        <v>46</v>
      </c>
    </row>
    <row r="8" ht="32" customHeight="1" spans="1:4">
      <c r="A8" s="4" t="s">
        <v>101</v>
      </c>
      <c r="B8" s="4">
        <v>100</v>
      </c>
      <c r="C8" s="4" t="s">
        <v>99</v>
      </c>
      <c r="D8" s="4" t="s">
        <v>46</v>
      </c>
    </row>
    <row r="9" ht="32" customHeight="1" spans="1:4">
      <c r="A9" s="5" t="s">
        <v>102</v>
      </c>
      <c r="B9" s="5">
        <v>200</v>
      </c>
      <c r="C9" s="5" t="s">
        <v>103</v>
      </c>
      <c r="D9" s="5" t="s">
        <v>46</v>
      </c>
    </row>
    <row r="10" ht="32" customHeight="1" spans="1:4">
      <c r="A10" s="4" t="s">
        <v>104</v>
      </c>
      <c r="B10" s="4">
        <v>200</v>
      </c>
      <c r="C10" s="4" t="s">
        <v>103</v>
      </c>
      <c r="D10" s="4" t="s">
        <v>46</v>
      </c>
    </row>
    <row r="11" ht="32" customHeight="1" spans="1:4">
      <c r="A11" s="5" t="s">
        <v>105</v>
      </c>
      <c r="B11" s="5">
        <v>30</v>
      </c>
      <c r="C11" s="5" t="s">
        <v>103</v>
      </c>
      <c r="D11" s="5" t="s">
        <v>46</v>
      </c>
    </row>
    <row r="12" ht="32" customHeight="1" spans="1:4">
      <c r="A12" s="4" t="s">
        <v>106</v>
      </c>
      <c r="B12" s="4">
        <v>50</v>
      </c>
      <c r="C12" s="4" t="s">
        <v>107</v>
      </c>
      <c r="D12" s="4" t="s">
        <v>46</v>
      </c>
    </row>
    <row r="13" ht="32" customHeight="1" spans="1:4">
      <c r="A13" s="5" t="s">
        <v>108</v>
      </c>
      <c r="B13" s="5">
        <v>100</v>
      </c>
      <c r="C13" s="5" t="s">
        <v>109</v>
      </c>
      <c r="D13" s="5" t="s">
        <v>46</v>
      </c>
    </row>
    <row r="14" ht="32" customHeight="1" spans="1:4">
      <c r="A14" s="4" t="s">
        <v>110</v>
      </c>
      <c r="B14" s="4">
        <v>200</v>
      </c>
      <c r="C14" s="4" t="s">
        <v>109</v>
      </c>
      <c r="D14" s="4" t="s">
        <v>46</v>
      </c>
    </row>
    <row r="15" ht="32" customHeight="1" spans="1:4">
      <c r="A15" s="5" t="s">
        <v>111</v>
      </c>
      <c r="B15" s="5">
        <v>50</v>
      </c>
      <c r="C15" s="5" t="s">
        <v>112</v>
      </c>
      <c r="D15" s="5" t="s">
        <v>46</v>
      </c>
    </row>
  </sheetData>
  <autoFilter xmlns:etc="http://www.wps.cn/officeDocument/2017/etCustomData" ref="A3:D15" etc:filterBottomFollowUsedRange="0">
    <extLst/>
  </autoFilter>
  <mergeCells count="2">
    <mergeCell ref="A1:D1"/>
    <mergeCell ref="A2:D2"/>
  </mergeCells>
  <conditionalFormatting sqref="D4:D15">
    <cfRule type="cellIs" dxfId="0" priority="1" operator="equal">
      <formula>"已确认"</formula>
    </cfRule>
    <cfRule type="cellIs" dxfId="0" priority="2" operator="equal">
      <formula>"已完成"</formula>
    </cfRule>
  </conditionalFormatting>
  <dataValidations count="1">
    <dataValidation type="list" allowBlank="1" sqref="D4:D15">
      <formula1>"待确认,已确认,需修改,不适用"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A72"/>
    <pageSetUpPr fitToPage="1"/>
  </sheetPr>
  <dimension ref="A1:D13"/>
  <sheetViews>
    <sheetView showGridLines="0" zoomScale="90" zoomScaleNormal="90" workbookViewId="0">
      <pane ySplit="3" topLeftCell="A4" activePane="bottomLeft" state="frozen"/>
      <selection/>
      <selection pane="bottomLeft" activeCell="A1" sqref="A1:D1"/>
    </sheetView>
  </sheetViews>
  <sheetFormatPr defaultColWidth="9" defaultRowHeight="14" outlineLevelCol="3"/>
  <cols>
    <col min="1" max="1" width="22" customWidth="1"/>
    <col min="2" max="2" width="62" customWidth="1"/>
    <col min="3" max="3" width="22" customWidth="1"/>
    <col min="4" max="4" width="35" customWidth="1"/>
  </cols>
  <sheetData>
    <row r="1" ht="32" customHeight="1" spans="1:4">
      <c r="A1" s="1" t="s">
        <v>113</v>
      </c>
    </row>
    <row r="2" ht="30" customHeight="1" spans="1:4">
      <c r="A2" s="2" t="s">
        <v>114</v>
      </c>
    </row>
    <row r="3" ht="16.5" spans="1:4">
      <c r="A3" s="3" t="s">
        <v>115</v>
      </c>
      <c r="B3" s="3" t="s">
        <v>116</v>
      </c>
      <c r="C3" s="3" t="s">
        <v>117</v>
      </c>
      <c r="D3" s="3" t="s">
        <v>118</v>
      </c>
    </row>
    <row r="4" ht="32" customHeight="1" spans="1:4">
      <c r="A4" s="4" t="s">
        <v>119</v>
      </c>
      <c r="B4" s="4" t="s">
        <v>120</v>
      </c>
      <c r="C4" s="4" t="s">
        <v>33</v>
      </c>
      <c r="D4" s="4" t="s">
        <v>32</v>
      </c>
    </row>
    <row r="5" ht="32" customHeight="1" spans="1:4">
      <c r="A5" s="5" t="s">
        <v>121</v>
      </c>
      <c r="B5" s="5" t="s">
        <v>122</v>
      </c>
      <c r="C5" s="5" t="s">
        <v>33</v>
      </c>
      <c r="D5" s="5" t="s">
        <v>32</v>
      </c>
    </row>
    <row r="6" ht="32" customHeight="1" spans="1:4">
      <c r="A6" s="4" t="s">
        <v>123</v>
      </c>
      <c r="B6" s="4" t="s">
        <v>124</v>
      </c>
      <c r="C6" s="4" t="s">
        <v>33</v>
      </c>
      <c r="D6" s="4" t="s">
        <v>32</v>
      </c>
    </row>
    <row r="7" ht="32" customHeight="1" spans="1:4">
      <c r="A7" s="5" t="s">
        <v>125</v>
      </c>
      <c r="B7" s="5" t="s">
        <v>126</v>
      </c>
      <c r="C7" s="5" t="s">
        <v>33</v>
      </c>
      <c r="D7" s="5" t="s">
        <v>32</v>
      </c>
    </row>
    <row r="8" ht="32" customHeight="1" spans="1:4">
      <c r="A8" s="4" t="s">
        <v>127</v>
      </c>
      <c r="B8" s="4" t="s">
        <v>128</v>
      </c>
      <c r="C8" s="4" t="s">
        <v>33</v>
      </c>
      <c r="D8" s="4" t="s">
        <v>32</v>
      </c>
    </row>
    <row r="9" ht="32" customHeight="1" spans="1:4">
      <c r="A9" s="5" t="s">
        <v>129</v>
      </c>
      <c r="B9" s="5" t="s">
        <v>130</v>
      </c>
      <c r="C9" s="5" t="s">
        <v>33</v>
      </c>
      <c r="D9" s="5" t="s">
        <v>32</v>
      </c>
    </row>
    <row r="10" ht="32" customHeight="1" spans="1:4">
      <c r="A10" s="4" t="s">
        <v>131</v>
      </c>
      <c r="B10" s="4" t="s">
        <v>132</v>
      </c>
      <c r="C10" s="4" t="s">
        <v>33</v>
      </c>
      <c r="D10" s="4" t="s">
        <v>32</v>
      </c>
    </row>
    <row r="11" ht="32" customHeight="1" spans="1:4">
      <c r="A11" s="5" t="s">
        <v>133</v>
      </c>
      <c r="B11" s="5" t="s">
        <v>134</v>
      </c>
      <c r="C11" s="5" t="s">
        <v>33</v>
      </c>
      <c r="D11" s="5" t="s">
        <v>32</v>
      </c>
    </row>
    <row r="12" ht="32" customHeight="1" spans="1:4">
      <c r="A12" s="4" t="s">
        <v>135</v>
      </c>
      <c r="B12" s="4" t="s">
        <v>136</v>
      </c>
      <c r="C12" s="4" t="s">
        <v>137</v>
      </c>
      <c r="D12" s="4" t="s">
        <v>32</v>
      </c>
    </row>
    <row r="13" ht="32" customHeight="1" spans="1:4">
      <c r="A13" s="5" t="s">
        <v>138</v>
      </c>
      <c r="B13" s="5" t="s">
        <v>139</v>
      </c>
      <c r="C13" s="5" t="s">
        <v>137</v>
      </c>
      <c r="D13" s="5" t="s">
        <v>32</v>
      </c>
    </row>
  </sheetData>
  <autoFilter xmlns:etc="http://www.wps.cn/officeDocument/2017/etCustomData" ref="A3:D13" etc:filterBottomFollowUsedRange="0">
    <extLst/>
  </autoFilter>
  <mergeCells count="2">
    <mergeCell ref="A1:D1"/>
    <mergeCell ref="A2:D2"/>
  </mergeCells>
  <conditionalFormatting sqref="C4:C13">
    <cfRule type="cellIs" dxfId="0" priority="1" operator="equal">
      <formula>"已确认"</formula>
    </cfRule>
    <cfRule type="cellIs" dxfId="0" priority="2" operator="equal">
      <formula>"已完成"</formula>
    </cfRule>
  </conditionalFormatting>
  <dataValidations count="1">
    <dataValidation type="list" allowBlank="1" sqref="C4:C13">
      <formula1>"待审核,通过,需补充,驳回,争议处理中,待填写"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A72"/>
    <pageSetUpPr fitToPage="1"/>
  </sheetPr>
  <dimension ref="A1:G9"/>
  <sheetViews>
    <sheetView showGridLines="0" zoomScale="90" zoomScaleNormal="90" workbookViewId="0">
      <pane ySplit="3" topLeftCell="A4" activePane="bottomLeft" state="frozen"/>
      <selection/>
      <selection pane="bottomLeft" activeCell="A1" sqref="A1:G1"/>
    </sheetView>
  </sheetViews>
  <sheetFormatPr defaultColWidth="9" defaultRowHeight="14" outlineLevelCol="6"/>
  <cols>
    <col min="1" max="1" width="12" customWidth="1"/>
    <col min="2" max="4" width="18" customWidth="1"/>
    <col min="5" max="5" width="20" customWidth="1"/>
    <col min="6" max="6" width="16" customWidth="1"/>
    <col min="7" max="7" width="30" customWidth="1"/>
  </cols>
  <sheetData>
    <row r="1" ht="32" customHeight="1" spans="1:7">
      <c r="A1" s="1" t="s">
        <v>140</v>
      </c>
    </row>
    <row r="2" ht="30" customHeight="1" spans="1:7">
      <c r="A2" s="2" t="s">
        <v>141</v>
      </c>
    </row>
    <row r="3" ht="16.5" spans="1:7">
      <c r="A3" s="3" t="s">
        <v>142</v>
      </c>
      <c r="B3" s="3" t="s">
        <v>37</v>
      </c>
      <c r="C3" s="3" t="s">
        <v>143</v>
      </c>
      <c r="D3" s="3" t="s">
        <v>144</v>
      </c>
      <c r="E3" s="3" t="s">
        <v>145</v>
      </c>
      <c r="F3" s="3" t="s">
        <v>146</v>
      </c>
      <c r="G3" s="3" t="s">
        <v>31</v>
      </c>
    </row>
    <row r="4" ht="32" customHeight="1" spans="1:7">
      <c r="A4" s="4">
        <v>1</v>
      </c>
      <c r="B4" s="4" t="s">
        <v>44</v>
      </c>
      <c r="C4" s="6"/>
      <c r="D4" s="6"/>
      <c r="E4" s="6" t="str">
        <f t="shared" ref="E4:E9" si="0">IF(COUNTA(C4:D4)=0,"",SUM(C4:D4))</f>
        <v/>
      </c>
      <c r="F4" s="4" t="s">
        <v>33</v>
      </c>
      <c r="G4" s="4" t="s">
        <v>32</v>
      </c>
    </row>
    <row r="5" ht="32" customHeight="1" spans="1:7">
      <c r="A5" s="5">
        <v>2</v>
      </c>
      <c r="B5" s="5" t="s">
        <v>47</v>
      </c>
      <c r="C5" s="7"/>
      <c r="D5" s="7"/>
      <c r="E5" s="7" t="str">
        <f t="shared" si="0"/>
        <v/>
      </c>
      <c r="F5" s="5" t="s">
        <v>33</v>
      </c>
      <c r="G5" s="5" t="s">
        <v>32</v>
      </c>
    </row>
    <row r="6" ht="32" customHeight="1" spans="1:7">
      <c r="A6" s="4">
        <v>3</v>
      </c>
      <c r="B6" s="4" t="s">
        <v>48</v>
      </c>
      <c r="C6" s="6"/>
      <c r="D6" s="6"/>
      <c r="E6" s="6" t="str">
        <f t="shared" si="0"/>
        <v/>
      </c>
      <c r="F6" s="4" t="s">
        <v>33</v>
      </c>
      <c r="G6" s="4" t="s">
        <v>32</v>
      </c>
    </row>
    <row r="7" ht="32" customHeight="1" spans="1:7">
      <c r="A7" s="5">
        <v>4</v>
      </c>
      <c r="B7" s="5" t="s">
        <v>49</v>
      </c>
      <c r="C7" s="7"/>
      <c r="D7" s="7"/>
      <c r="E7" s="7" t="str">
        <f t="shared" si="0"/>
        <v/>
      </c>
      <c r="F7" s="5" t="s">
        <v>33</v>
      </c>
      <c r="G7" s="5" t="s">
        <v>32</v>
      </c>
    </row>
    <row r="8" ht="32" customHeight="1" spans="1:7">
      <c r="A8" s="4">
        <v>5</v>
      </c>
      <c r="B8" s="4" t="s">
        <v>50</v>
      </c>
      <c r="C8" s="6"/>
      <c r="D8" s="6"/>
      <c r="E8" s="6" t="str">
        <f t="shared" si="0"/>
        <v/>
      </c>
      <c r="F8" s="4" t="s">
        <v>33</v>
      </c>
      <c r="G8" s="4" t="s">
        <v>32</v>
      </c>
    </row>
    <row r="9" ht="32" customHeight="1" spans="1:7">
      <c r="A9" s="5">
        <v>6</v>
      </c>
      <c r="B9" s="5" t="s">
        <v>51</v>
      </c>
      <c r="C9" s="7"/>
      <c r="D9" s="7"/>
      <c r="E9" s="7" t="str">
        <f t="shared" si="0"/>
        <v/>
      </c>
      <c r="F9" s="5" t="s">
        <v>33</v>
      </c>
      <c r="G9" s="5" t="s">
        <v>32</v>
      </c>
    </row>
  </sheetData>
  <autoFilter xmlns:etc="http://www.wps.cn/officeDocument/2017/etCustomData" ref="A3:G9" etc:filterBottomFollowUsedRange="0">
    <extLst/>
  </autoFilter>
  <mergeCells count="2">
    <mergeCell ref="A1:G1"/>
    <mergeCell ref="A2:G2"/>
  </mergeCells>
  <dataValidations count="1">
    <dataValidation type="list" allowBlank="1" sqref="F4:F9">
      <formula1>"待审核,部分通过,已审核,争议处理中"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A72"/>
    <pageSetUpPr fitToPage="1"/>
  </sheetPr>
  <dimension ref="A1:E9"/>
  <sheetViews>
    <sheetView showGridLines="0" zoomScale="90" zoomScaleNormal="90" workbookViewId="0">
      <pane ySplit="3" topLeftCell="A4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24" customWidth="1"/>
    <col min="2" max="2" width="22" customWidth="1"/>
    <col min="3" max="3" width="32" customWidth="1"/>
    <col min="4" max="4" width="54" customWidth="1"/>
    <col min="5" max="5" width="14" customWidth="1"/>
  </cols>
  <sheetData>
    <row r="1" ht="32" customHeight="1" spans="1:5">
      <c r="A1" s="1" t="s">
        <v>147</v>
      </c>
    </row>
    <row r="2" ht="30" customHeight="1" spans="1:5">
      <c r="A2" s="2" t="s">
        <v>148</v>
      </c>
    </row>
    <row r="3" ht="16.5" spans="1:5">
      <c r="A3" s="3" t="s">
        <v>149</v>
      </c>
      <c r="B3" s="3" t="s">
        <v>150</v>
      </c>
      <c r="C3" s="3" t="s">
        <v>151</v>
      </c>
      <c r="D3" s="3" t="s">
        <v>152</v>
      </c>
      <c r="E3" s="3" t="s">
        <v>153</v>
      </c>
    </row>
    <row r="4" ht="32" customHeight="1" spans="1:5">
      <c r="A4" s="4" t="s">
        <v>154</v>
      </c>
      <c r="B4" s="4" t="s">
        <v>32</v>
      </c>
      <c r="C4" s="4" t="s">
        <v>32</v>
      </c>
      <c r="D4" s="4" t="s">
        <v>155</v>
      </c>
      <c r="E4" s="4" t="s">
        <v>46</v>
      </c>
    </row>
    <row r="5" ht="32" customHeight="1" spans="1:5">
      <c r="A5" s="5" t="s">
        <v>156</v>
      </c>
      <c r="B5" s="5" t="s">
        <v>32</v>
      </c>
      <c r="C5" s="5" t="s">
        <v>32</v>
      </c>
      <c r="D5" s="5" t="s">
        <v>157</v>
      </c>
      <c r="E5" s="5" t="s">
        <v>46</v>
      </c>
    </row>
    <row r="6" ht="32" customHeight="1" spans="1:5">
      <c r="A6" s="4" t="s">
        <v>158</v>
      </c>
      <c r="B6" s="4" t="s">
        <v>32</v>
      </c>
      <c r="C6" s="4" t="s">
        <v>32</v>
      </c>
      <c r="D6" s="4" t="s">
        <v>159</v>
      </c>
      <c r="E6" s="4" t="s">
        <v>46</v>
      </c>
    </row>
    <row r="7" ht="32" customHeight="1" spans="1:5">
      <c r="A7" s="5" t="s">
        <v>160</v>
      </c>
      <c r="B7" s="5" t="s">
        <v>32</v>
      </c>
      <c r="C7" s="5" t="s">
        <v>32</v>
      </c>
      <c r="D7" s="5" t="s">
        <v>161</v>
      </c>
      <c r="E7" s="5" t="s">
        <v>46</v>
      </c>
    </row>
    <row r="8" ht="32" customHeight="1" spans="1:5">
      <c r="A8" s="4" t="s">
        <v>162</v>
      </c>
      <c r="B8" s="4" t="s">
        <v>32</v>
      </c>
      <c r="C8" s="4" t="s">
        <v>32</v>
      </c>
      <c r="D8" s="4" t="s">
        <v>163</v>
      </c>
      <c r="E8" s="4" t="s">
        <v>46</v>
      </c>
    </row>
    <row r="9" ht="32" customHeight="1" spans="1:5">
      <c r="A9" s="5" t="s">
        <v>164</v>
      </c>
      <c r="B9" s="5" t="s">
        <v>32</v>
      </c>
      <c r="C9" s="5" t="s">
        <v>32</v>
      </c>
      <c r="D9" s="5" t="s">
        <v>165</v>
      </c>
      <c r="E9" s="5" t="s">
        <v>46</v>
      </c>
    </row>
  </sheetData>
  <autoFilter xmlns:etc="http://www.wps.cn/officeDocument/2017/etCustomData" ref="A3:E9" etc:filterBottomFollowUsedRange="0">
    <extLst/>
  </autoFilter>
  <mergeCells count="2">
    <mergeCell ref="A1:E1"/>
    <mergeCell ref="A2:E2"/>
  </mergeCells>
  <conditionalFormatting sqref="E4:E9">
    <cfRule type="cellIs" dxfId="0" priority="1" operator="equal">
      <formula>"已确认"</formula>
    </cfRule>
    <cfRule type="cellIs" dxfId="0" priority="2" operator="equal">
      <formula>"已完成"</formula>
    </cfRule>
  </conditionalFormatting>
  <dataValidations count="1">
    <dataValidation type="list" allowBlank="1" sqref="E4:E9">
      <formula1>"待确认,已确认,不适用"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A72"/>
    <pageSetUpPr fitToPage="1"/>
  </sheetPr>
  <dimension ref="A1:E12"/>
  <sheetViews>
    <sheetView showGridLines="0" tabSelected="1" zoomScale="90" zoomScaleNormal="90" workbookViewId="0">
      <pane ySplit="3" topLeftCell="A4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22" customWidth="1"/>
    <col min="2" max="2" width="55" customWidth="1"/>
    <col min="3" max="3" width="18" customWidth="1"/>
    <col min="4" max="4" width="16" customWidth="1"/>
    <col min="5" max="5" width="30" customWidth="1"/>
  </cols>
  <sheetData>
    <row r="1" ht="32" customHeight="1" spans="1:5">
      <c r="A1" s="1" t="s">
        <v>166</v>
      </c>
    </row>
    <row r="2" ht="30" customHeight="1" spans="1:5">
      <c r="A2" s="2" t="s">
        <v>167</v>
      </c>
    </row>
    <row r="3" ht="16.5" spans="1:5">
      <c r="A3" s="3" t="s">
        <v>168</v>
      </c>
      <c r="B3" s="3" t="s">
        <v>169</v>
      </c>
      <c r="C3" s="3" t="s">
        <v>170</v>
      </c>
      <c r="D3" s="3" t="s">
        <v>171</v>
      </c>
      <c r="E3" s="3" t="s">
        <v>31</v>
      </c>
    </row>
    <row r="4" ht="32" customHeight="1" spans="1:5">
      <c r="A4" s="4" t="s">
        <v>172</v>
      </c>
      <c r="B4" s="4" t="s">
        <v>173</v>
      </c>
      <c r="C4" s="4" t="s">
        <v>174</v>
      </c>
      <c r="D4" s="4" t="s">
        <v>175</v>
      </c>
      <c r="E4" s="4" t="s">
        <v>32</v>
      </c>
    </row>
    <row r="5" ht="32" customHeight="1" spans="1:5">
      <c r="A5" s="5" t="s">
        <v>176</v>
      </c>
      <c r="B5" s="5" t="s">
        <v>177</v>
      </c>
      <c r="C5" s="5" t="s">
        <v>178</v>
      </c>
      <c r="D5" s="5" t="s">
        <v>175</v>
      </c>
      <c r="E5" s="5" t="s">
        <v>32</v>
      </c>
    </row>
    <row r="6" ht="32" customHeight="1" spans="1:5">
      <c r="A6" s="4" t="s">
        <v>179</v>
      </c>
      <c r="B6" s="4" t="s">
        <v>180</v>
      </c>
      <c r="C6" s="4" t="s">
        <v>181</v>
      </c>
      <c r="D6" s="4" t="s">
        <v>175</v>
      </c>
      <c r="E6" s="4" t="s">
        <v>32</v>
      </c>
    </row>
    <row r="7" ht="32" customHeight="1" spans="1:5">
      <c r="A7" s="5" t="s">
        <v>182</v>
      </c>
      <c r="B7" s="5" t="s">
        <v>183</v>
      </c>
      <c r="C7" s="5" t="s">
        <v>184</v>
      </c>
      <c r="D7" s="5" t="s">
        <v>175</v>
      </c>
      <c r="E7" s="5" t="s">
        <v>32</v>
      </c>
    </row>
    <row r="8" ht="32" customHeight="1" spans="1:5">
      <c r="A8" s="4" t="s">
        <v>185</v>
      </c>
      <c r="B8" s="4" t="s">
        <v>186</v>
      </c>
      <c r="C8" s="4" t="s">
        <v>187</v>
      </c>
      <c r="D8" s="4" t="s">
        <v>175</v>
      </c>
      <c r="E8" s="4" t="s">
        <v>32</v>
      </c>
    </row>
    <row r="9" ht="32" customHeight="1" spans="1:5">
      <c r="A9" s="5" t="s">
        <v>188</v>
      </c>
      <c r="B9" s="5" t="s">
        <v>189</v>
      </c>
      <c r="C9" s="5" t="s">
        <v>190</v>
      </c>
      <c r="D9" s="5" t="s">
        <v>175</v>
      </c>
      <c r="E9" s="5" t="s">
        <v>32</v>
      </c>
    </row>
    <row r="10" ht="32" customHeight="1" spans="1:5">
      <c r="A10" s="4" t="s">
        <v>191</v>
      </c>
      <c r="B10" s="4" t="s">
        <v>192</v>
      </c>
      <c r="C10" s="4" t="s">
        <v>193</v>
      </c>
      <c r="D10" s="4" t="s">
        <v>175</v>
      </c>
      <c r="E10" s="4" t="s">
        <v>32</v>
      </c>
    </row>
    <row r="11" ht="32" customHeight="1" spans="1:5">
      <c r="A11" s="5" t="s">
        <v>194</v>
      </c>
      <c r="B11" s="5" t="s">
        <v>195</v>
      </c>
      <c r="C11" s="5" t="s">
        <v>196</v>
      </c>
      <c r="D11" s="5" t="s">
        <v>175</v>
      </c>
      <c r="E11" s="5" t="s">
        <v>32</v>
      </c>
    </row>
    <row r="12" ht="32" customHeight="1" spans="1:5">
      <c r="A12" s="4" t="s">
        <v>197</v>
      </c>
      <c r="B12" s="4" t="s">
        <v>198</v>
      </c>
      <c r="C12" s="4" t="s">
        <v>199</v>
      </c>
      <c r="D12" s="4" t="s">
        <v>175</v>
      </c>
      <c r="E12" s="4" t="s">
        <v>32</v>
      </c>
    </row>
  </sheetData>
  <autoFilter xmlns:etc="http://www.wps.cn/officeDocument/2017/etCustomData" ref="A3:E12" etc:filterBottomFollowUsedRange="0">
    <extLst/>
  </autoFilter>
  <mergeCells count="2">
    <mergeCell ref="A1:E1"/>
    <mergeCell ref="A2:E2"/>
  </mergeCells>
  <conditionalFormatting sqref="D4:D12">
    <cfRule type="cellIs" dxfId="0" priority="1" operator="equal">
      <formula>"已确认"</formula>
    </cfRule>
    <cfRule type="cellIs" dxfId="0" priority="2" operator="equal">
      <formula>"已完成"</formula>
    </cfRule>
  </conditionalFormatting>
  <dataValidations count="1">
    <dataValidation type="list" allowBlank="1" sqref="D4:D12">
      <formula1>"待检查,通过,不通过,待补充,不适用"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A72"/>
    <pageSetUpPr fitToPage="1"/>
  </sheetPr>
  <dimension ref="A1:E13"/>
  <sheetViews>
    <sheetView showGridLines="0" zoomScale="90" zoomScaleNormal="90" workbookViewId="0">
      <pane ySplit="3" topLeftCell="A4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24" customWidth="1"/>
    <col min="2" max="2" width="28" customWidth="1"/>
    <col min="3" max="3" width="58" customWidth="1"/>
    <col min="4" max="4" width="24" customWidth="1"/>
    <col min="5" max="5" width="38" customWidth="1"/>
  </cols>
  <sheetData>
    <row r="1" ht="32" customHeight="1" spans="1:5">
      <c r="A1" s="1" t="s">
        <v>200</v>
      </c>
    </row>
    <row r="2" ht="30" customHeight="1" spans="1:5">
      <c r="A2" s="2" t="s">
        <v>201</v>
      </c>
    </row>
    <row r="3" ht="16.5" spans="1:5">
      <c r="A3" s="3" t="s">
        <v>202</v>
      </c>
      <c r="B3" s="3" t="s">
        <v>203</v>
      </c>
      <c r="C3" s="3" t="s">
        <v>204</v>
      </c>
      <c r="D3" s="3" t="s">
        <v>205</v>
      </c>
      <c r="E3" s="3" t="s">
        <v>206</v>
      </c>
    </row>
    <row r="4" ht="32" customHeight="1" spans="1:5">
      <c r="A4" s="4" t="s">
        <v>207</v>
      </c>
      <c r="B4" s="4" t="s">
        <v>208</v>
      </c>
      <c r="C4" s="4" t="s">
        <v>209</v>
      </c>
      <c r="D4" s="4" t="s">
        <v>137</v>
      </c>
      <c r="E4" s="4" t="s">
        <v>210</v>
      </c>
    </row>
    <row r="5" ht="32" customHeight="1" spans="1:5">
      <c r="A5" s="5" t="s">
        <v>211</v>
      </c>
      <c r="B5" s="5" t="s">
        <v>212</v>
      </c>
      <c r="C5" s="5" t="s">
        <v>213</v>
      </c>
      <c r="D5" s="5" t="s">
        <v>137</v>
      </c>
      <c r="E5" s="5" t="s">
        <v>210</v>
      </c>
    </row>
    <row r="6" ht="32" customHeight="1" spans="1:5">
      <c r="A6" s="4" t="s">
        <v>214</v>
      </c>
      <c r="B6" s="4" t="s">
        <v>215</v>
      </c>
      <c r="C6" s="4" t="s">
        <v>216</v>
      </c>
      <c r="D6" s="4" t="s">
        <v>137</v>
      </c>
      <c r="E6" s="4" t="s">
        <v>210</v>
      </c>
    </row>
    <row r="7" ht="32" customHeight="1" spans="1:5">
      <c r="A7" s="5" t="s">
        <v>217</v>
      </c>
      <c r="B7" s="5" t="s">
        <v>218</v>
      </c>
      <c r="C7" s="5" t="s">
        <v>219</v>
      </c>
      <c r="D7" s="5" t="s">
        <v>137</v>
      </c>
      <c r="E7" s="5" t="s">
        <v>210</v>
      </c>
    </row>
    <row r="8" ht="32" customHeight="1" spans="1:5">
      <c r="A8" s="4" t="s">
        <v>220</v>
      </c>
      <c r="B8" s="4" t="s">
        <v>218</v>
      </c>
      <c r="C8" s="4" t="s">
        <v>221</v>
      </c>
      <c r="D8" s="4" t="s">
        <v>137</v>
      </c>
      <c r="E8" s="4" t="s">
        <v>210</v>
      </c>
    </row>
    <row r="9" ht="32" customHeight="1" spans="1:5">
      <c r="A9" s="5" t="s">
        <v>222</v>
      </c>
      <c r="B9" s="5" t="s">
        <v>223</v>
      </c>
      <c r="C9" s="5" t="s">
        <v>224</v>
      </c>
      <c r="D9" s="5" t="s">
        <v>137</v>
      </c>
      <c r="E9" s="5" t="s">
        <v>210</v>
      </c>
    </row>
    <row r="10" ht="32" customHeight="1" spans="1:5">
      <c r="A10" s="4" t="s">
        <v>225</v>
      </c>
      <c r="B10" s="4" t="s">
        <v>226</v>
      </c>
      <c r="C10" s="4" t="s">
        <v>227</v>
      </c>
      <c r="D10" s="4" t="s">
        <v>137</v>
      </c>
      <c r="E10" s="4" t="s">
        <v>210</v>
      </c>
    </row>
    <row r="11" ht="32" customHeight="1" spans="1:5">
      <c r="A11" s="5" t="s">
        <v>228</v>
      </c>
      <c r="B11" s="5" t="s">
        <v>229</v>
      </c>
      <c r="C11" s="5" t="s">
        <v>230</v>
      </c>
      <c r="D11" s="5" t="s">
        <v>137</v>
      </c>
      <c r="E11" s="5" t="s">
        <v>210</v>
      </c>
    </row>
    <row r="12" ht="32" customHeight="1" spans="1:5">
      <c r="A12" s="4" t="s">
        <v>231</v>
      </c>
      <c r="B12" s="4" t="s">
        <v>232</v>
      </c>
      <c r="C12" s="4" t="s">
        <v>233</v>
      </c>
      <c r="D12" s="4" t="s">
        <v>137</v>
      </c>
      <c r="E12" s="4" t="s">
        <v>210</v>
      </c>
    </row>
    <row r="13" ht="32" customHeight="1" spans="1:5">
      <c r="A13" s="5" t="s">
        <v>234</v>
      </c>
      <c r="B13" s="5" t="s">
        <v>235</v>
      </c>
      <c r="C13" s="5" t="s">
        <v>236</v>
      </c>
      <c r="D13" s="5" t="s">
        <v>137</v>
      </c>
      <c r="E13" s="5" t="s">
        <v>210</v>
      </c>
    </row>
  </sheetData>
  <autoFilter xmlns:etc="http://www.wps.cn/officeDocument/2017/etCustomData" ref="A3:E13" etc:filterBottomFollowUsedRange="0">
    <extLst/>
  </autoFilter>
  <mergeCells count="2">
    <mergeCell ref="A1:E1"/>
    <mergeCell ref="A2:E2"/>
  </mergeCells>
  <pageMargins left="0.75" right="0.75" top="1" bottom="1" header="0.5" footer="0.5"/>
  <pageSetup paperSize="1" fitToHeight="0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A72"/>
    <pageSetUpPr fitToPage="1"/>
  </sheetPr>
  <dimension ref="A1:E9"/>
  <sheetViews>
    <sheetView showGridLines="0" zoomScale="90" zoomScaleNormal="90" workbookViewId="0">
      <pane ySplit="3" topLeftCell="A4" activePane="bottomLeft" state="frozen"/>
      <selection/>
      <selection pane="bottomLeft" activeCell="D12" sqref="D12"/>
    </sheetView>
  </sheetViews>
  <sheetFormatPr defaultColWidth="9" defaultRowHeight="14" outlineLevelCol="4"/>
  <cols>
    <col min="1" max="1" width="12" customWidth="1"/>
    <col min="2" max="2" width="40" customWidth="1"/>
    <col min="3" max="3" width="38" customWidth="1"/>
    <col min="4" max="4" width="60" customWidth="1"/>
    <col min="5" max="5" width="16" customWidth="1"/>
  </cols>
  <sheetData>
    <row r="1" ht="32" customHeight="1" spans="1:5">
      <c r="A1" s="1" t="s">
        <v>237</v>
      </c>
    </row>
    <row r="2" ht="30" customHeight="1" spans="1:5">
      <c r="A2" s="2" t="s">
        <v>238</v>
      </c>
    </row>
    <row r="3" ht="16.5" spans="1:5">
      <c r="A3" s="3" t="s">
        <v>54</v>
      </c>
      <c r="B3" s="3" t="s">
        <v>239</v>
      </c>
      <c r="C3" s="3" t="s">
        <v>240</v>
      </c>
      <c r="D3" s="3" t="s">
        <v>241</v>
      </c>
      <c r="E3" s="3" t="s">
        <v>153</v>
      </c>
    </row>
    <row r="4" ht="32" customHeight="1" spans="1:5">
      <c r="A4" s="4" t="s">
        <v>242</v>
      </c>
      <c r="B4" s="4" t="s">
        <v>243</v>
      </c>
      <c r="C4" s="4" t="s">
        <v>244</v>
      </c>
      <c r="D4" s="4" t="s">
        <v>245</v>
      </c>
      <c r="E4" s="4" t="s">
        <v>246</v>
      </c>
    </row>
    <row r="5" ht="32" customHeight="1" spans="1:5">
      <c r="A5" s="5" t="s">
        <v>247</v>
      </c>
      <c r="B5" s="5" t="s">
        <v>248</v>
      </c>
      <c r="C5" s="5" t="s">
        <v>249</v>
      </c>
      <c r="D5" s="5" t="s">
        <v>250</v>
      </c>
      <c r="E5" s="5" t="s">
        <v>246</v>
      </c>
    </row>
    <row r="6" ht="32" customHeight="1" spans="1:5">
      <c r="A6" s="4" t="s">
        <v>251</v>
      </c>
      <c r="B6" s="4" t="s">
        <v>252</v>
      </c>
      <c r="C6" s="4" t="s">
        <v>253</v>
      </c>
      <c r="D6" s="4" t="s">
        <v>254</v>
      </c>
      <c r="E6" s="4" t="s">
        <v>246</v>
      </c>
    </row>
    <row r="7" ht="32" customHeight="1" spans="1:5">
      <c r="A7" s="5" t="s">
        <v>255</v>
      </c>
      <c r="B7" s="5" t="s">
        <v>256</v>
      </c>
      <c r="C7" s="5" t="s">
        <v>257</v>
      </c>
      <c r="D7" s="5" t="s">
        <v>258</v>
      </c>
      <c r="E7" s="5" t="s">
        <v>246</v>
      </c>
    </row>
    <row r="8" ht="32" customHeight="1" spans="1:5">
      <c r="A8" s="4" t="s">
        <v>259</v>
      </c>
      <c r="B8" s="4" t="s">
        <v>260</v>
      </c>
      <c r="C8" s="4" t="s">
        <v>261</v>
      </c>
      <c r="D8" s="4" t="s">
        <v>262</v>
      </c>
      <c r="E8" s="4" t="s">
        <v>46</v>
      </c>
    </row>
    <row r="9" ht="32" customHeight="1" spans="1:5">
      <c r="A9" s="5" t="s">
        <v>263</v>
      </c>
      <c r="B9" s="5" t="s">
        <v>264</v>
      </c>
      <c r="C9" s="5" t="s">
        <v>265</v>
      </c>
      <c r="D9" s="5" t="s">
        <v>266</v>
      </c>
      <c r="E9" s="5" t="s">
        <v>46</v>
      </c>
    </row>
  </sheetData>
  <autoFilter xmlns:etc="http://www.wps.cn/officeDocument/2017/etCustomData" ref="A3:E9" etc:filterBottomFollowUsedRange="0">
    <extLst/>
  </autoFilter>
  <mergeCells count="2">
    <mergeCell ref="A1:E1"/>
    <mergeCell ref="A2:E2"/>
  </mergeCells>
  <conditionalFormatting sqref="E4:E9">
    <cfRule type="cellIs" dxfId="0" priority="1" operator="equal">
      <formula>"已确认"</formula>
    </cfRule>
    <cfRule type="cellIs" dxfId="0" priority="2" operator="equal">
      <formula>"已完成"</formula>
    </cfRule>
  </conditionalFormatting>
  <dataValidations count="1">
    <dataValidation type="list" allowBlank="1" sqref="E4:E9">
      <formula1>"待确认,已确认,需修改,暂缓"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A72"/>
    <pageSetUpPr fitToPage="1"/>
  </sheetPr>
  <dimension ref="A1:C12"/>
  <sheetViews>
    <sheetView showGridLines="0" zoomScale="90" zoomScaleNormal="90" workbookViewId="0">
      <pane ySplit="3" topLeftCell="A4" activePane="bottomLeft" state="frozen"/>
      <selection/>
      <selection pane="bottomLeft" activeCell="A1" sqref="A1:C1"/>
    </sheetView>
  </sheetViews>
  <sheetFormatPr defaultColWidth="9" defaultRowHeight="14" outlineLevelCol="2"/>
  <cols>
    <col min="1" max="1" width="100" customWidth="1"/>
    <col min="2" max="2" width="18" customWidth="1"/>
    <col min="3" max="3" width="40" customWidth="1"/>
  </cols>
  <sheetData>
    <row r="1" ht="32" customHeight="1" spans="1:3">
      <c r="A1" s="1" t="s">
        <v>267</v>
      </c>
    </row>
    <row r="2" ht="30" customHeight="1" spans="1:3">
      <c r="A2" s="2" t="s">
        <v>268</v>
      </c>
    </row>
    <row r="3" ht="16.5" spans="1:3">
      <c r="A3" s="3" t="s">
        <v>115</v>
      </c>
      <c r="B3" s="3" t="s">
        <v>153</v>
      </c>
      <c r="C3" s="3" t="s">
        <v>31</v>
      </c>
    </row>
    <row r="4" ht="32" customHeight="1" spans="1:3">
      <c r="A4" s="4" t="s">
        <v>269</v>
      </c>
      <c r="B4" s="4" t="s">
        <v>175</v>
      </c>
      <c r="C4" s="4" t="s">
        <v>32</v>
      </c>
    </row>
    <row r="5" ht="32" customHeight="1" spans="1:3">
      <c r="A5" s="5" t="s">
        <v>270</v>
      </c>
      <c r="B5" s="5" t="s">
        <v>175</v>
      </c>
      <c r="C5" s="5" t="s">
        <v>32</v>
      </c>
    </row>
    <row r="6" ht="32" customHeight="1" spans="1:3">
      <c r="A6" s="4" t="s">
        <v>271</v>
      </c>
      <c r="B6" s="4" t="s">
        <v>175</v>
      </c>
      <c r="C6" s="4" t="s">
        <v>32</v>
      </c>
    </row>
    <row r="7" ht="32" customHeight="1" spans="1:3">
      <c r="A7" s="5" t="s">
        <v>272</v>
      </c>
      <c r="B7" s="5" t="s">
        <v>175</v>
      </c>
      <c r="C7" s="5" t="s">
        <v>32</v>
      </c>
    </row>
    <row r="8" ht="32" customHeight="1" spans="1:3">
      <c r="A8" s="4" t="s">
        <v>273</v>
      </c>
      <c r="B8" s="4" t="s">
        <v>175</v>
      </c>
      <c r="C8" s="4" t="s">
        <v>32</v>
      </c>
    </row>
    <row r="9" ht="32" customHeight="1" spans="1:3">
      <c r="A9" s="5" t="s">
        <v>274</v>
      </c>
      <c r="B9" s="5" t="s">
        <v>175</v>
      </c>
      <c r="C9" s="5" t="s">
        <v>32</v>
      </c>
    </row>
    <row r="10" ht="32" customHeight="1" spans="1:3">
      <c r="A10" s="4" t="s">
        <v>275</v>
      </c>
      <c r="B10" s="4" t="s">
        <v>175</v>
      </c>
      <c r="C10" s="4" t="s">
        <v>32</v>
      </c>
    </row>
    <row r="11" ht="32" customHeight="1" spans="1:3">
      <c r="A11" s="5" t="s">
        <v>276</v>
      </c>
      <c r="B11" s="5" t="s">
        <v>175</v>
      </c>
      <c r="C11" s="5" t="s">
        <v>32</v>
      </c>
    </row>
    <row r="12" ht="32" customHeight="1" spans="1:3">
      <c r="A12" s="4" t="s">
        <v>277</v>
      </c>
      <c r="B12" s="4" t="s">
        <v>175</v>
      </c>
      <c r="C12" s="4" t="s">
        <v>32</v>
      </c>
    </row>
  </sheetData>
  <autoFilter xmlns:etc="http://www.wps.cn/officeDocument/2017/etCustomData" ref="A3:C12" etc:filterBottomFollowUsedRange="0">
    <extLst/>
  </autoFilter>
  <mergeCells count="2">
    <mergeCell ref="A1:C1"/>
    <mergeCell ref="A2:C2"/>
  </mergeCells>
  <conditionalFormatting sqref="B4:B12">
    <cfRule type="cellIs" dxfId="0" priority="1" operator="equal">
      <formula>"已确认"</formula>
    </cfRule>
    <cfRule type="cellIs" dxfId="0" priority="2" operator="equal">
      <formula>"已完成"</formula>
    </cfRule>
  </conditionalFormatting>
  <dataValidations count="1">
    <dataValidation type="list" allowBlank="1" sqref="B4:B12">
      <formula1>"待检查,已完成,未完成,不适用"</formula1>
    </dataValidation>
  </dataValidations>
  <pageMargins left="0.75" right="0.7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使用说明</vt:lpstr>
      <vt:lpstr>报名统计表</vt:lpstr>
      <vt:lpstr>分组与队长名单</vt:lpstr>
      <vt:lpstr>预算申报表</vt:lpstr>
      <vt:lpstr>赏金积分规则</vt:lpstr>
      <vt:lpstr>战绩审核清单</vt:lpstr>
      <vt:lpstr>积分排行榜</vt:lpstr>
      <vt:lpstr>应急联系人表</vt:lpstr>
      <vt:lpstr>活动配置自查表</vt:lpstr>
      <vt:lpstr>数据预估与复盘表</vt:lpstr>
      <vt:lpstr>规则待确认清单</vt:lpstr>
      <vt:lpstr>对外发布检查清单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雨巷</cp:lastModifiedBy>
  <dcterms:created xsi:type="dcterms:W3CDTF">2026-10-17T09:30:00Z</dcterms:created>
  <dcterms:modified xsi:type="dcterms:W3CDTF">2026-10-17T09:50:12Z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983D89CC0850420C93009C504B9F8AE4_12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