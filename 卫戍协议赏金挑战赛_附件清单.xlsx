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报名统计表" sheetId="2" state="visible" r:id="rId2"/>
    <sheet xmlns:r="http://schemas.openxmlformats.org/officeDocument/2006/relationships" name="分组与队长名单" sheetId="3" state="visible" r:id="rId3"/>
    <sheet xmlns:r="http://schemas.openxmlformats.org/officeDocument/2006/relationships" name="预算申报表" sheetId="4" state="visible" r:id="rId4"/>
    <sheet xmlns:r="http://schemas.openxmlformats.org/officeDocument/2006/relationships" name="赏金积分规则" sheetId="5" state="visible" r:id="rId5"/>
    <sheet xmlns:r="http://schemas.openxmlformats.org/officeDocument/2006/relationships" name="战绩审核清单" sheetId="6" state="visible" r:id="rId6"/>
    <sheet xmlns:r="http://schemas.openxmlformats.org/officeDocument/2006/relationships" name="积分排行榜" sheetId="7" state="visible" r:id="rId7"/>
    <sheet xmlns:r="http://schemas.openxmlformats.org/officeDocument/2006/relationships" name="应急联系人表" sheetId="8" state="visible" r:id="rId8"/>
    <sheet xmlns:r="http://schemas.openxmlformats.org/officeDocument/2006/relationships" name="活动配置自查表" sheetId="9" state="visible" r:id="rId9"/>
    <sheet xmlns:r="http://schemas.openxmlformats.org/officeDocument/2006/relationships" name="数据预估与复盘表" sheetId="10" state="visible" r:id="rId10"/>
    <sheet xmlns:r="http://schemas.openxmlformats.org/officeDocument/2006/relationships" name="规则待确认清单" sheetId="11" state="visible" r:id="rId11"/>
    <sheet xmlns:r="http://schemas.openxmlformats.org/officeDocument/2006/relationships" name="对外发布检查清单" sheetId="12" state="visible" r:id="rId12"/>
  </sheets>
  <definedNames>
    <definedName name="_xlnm._FilterDatabase" localSheetId="0" hidden="1">'使用说明'!$A$3:$B$12</definedName>
    <definedName name="_xlnm.Print_Titles" localSheetId="0">'使用说明'!$1:$3</definedName>
    <definedName name="_xlnm._FilterDatabase" localSheetId="1" hidden="1">'报名统计表'!$A$3:$H$27</definedName>
    <definedName name="_xlnm.Print_Titles" localSheetId="1">'报名统计表'!$1:$3</definedName>
    <definedName name="_xlnm._FilterDatabase" localSheetId="2" hidden="1">'分组与队长名单'!$A$3:$H$9</definedName>
    <definedName name="_xlnm.Print_Titles" localSheetId="2">'分组与队长名单'!$1:$3</definedName>
    <definedName name="_xlnm._FilterDatabase" localSheetId="3" hidden="1">'预算申报表'!$A$3:$H$10</definedName>
    <definedName name="_xlnm.Print_Titles" localSheetId="3">'预算申报表'!$1:$3</definedName>
    <definedName name="_xlnm._FilterDatabase" localSheetId="4" hidden="1">'赏金积分规则'!$A$3:$D$15</definedName>
    <definedName name="_xlnm.Print_Titles" localSheetId="4">'赏金积分规则'!$1:$3</definedName>
    <definedName name="_xlnm._FilterDatabase" localSheetId="5" hidden="1">'战绩审核清单'!$A$3:$D$13</definedName>
    <definedName name="_xlnm.Print_Titles" localSheetId="5">'战绩审核清单'!$1:$3</definedName>
    <definedName name="_xlnm._FilterDatabase" localSheetId="6" hidden="1">'积分排行榜'!$A$3:$G$9</definedName>
    <definedName name="_xlnm.Print_Titles" localSheetId="6">'积分排行榜'!$1:$3</definedName>
    <definedName name="_xlnm._FilterDatabase" localSheetId="7" hidden="1">'应急联系人表'!$A$3:$E$9</definedName>
    <definedName name="_xlnm.Print_Titles" localSheetId="7">'应急联系人表'!$1:$3</definedName>
    <definedName name="_xlnm._FilterDatabase" localSheetId="8" hidden="1">'活动配置自查表'!$A$3:$E$12</definedName>
    <definedName name="_xlnm.Print_Titles" localSheetId="8">'活动配置自查表'!$1:$3</definedName>
    <definedName name="_xlnm._FilterDatabase" localSheetId="9" hidden="1">'数据预估与复盘表'!$A$3:$E$13</definedName>
    <definedName name="_xlnm.Print_Titles" localSheetId="9">'数据预估与复盘表'!$1:$3</definedName>
    <definedName name="_xlnm._FilterDatabase" localSheetId="10" hidden="1">'规则待确认清单'!$A$3:$E$9</definedName>
    <definedName name="_xlnm.Print_Titles" localSheetId="10">'规则待确认清单'!$1:$3</definedName>
    <definedName name="_xlnm._FilterDatabase" localSheetId="11" hidden="1">'对外发布检查清单'!$A$3:$C$12</definedName>
    <definedName name="_xlnm.Print_Titles" localSheetId="11">'对外发布检查清单'!$1:$3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¥#,##0.00"/>
  </numFmts>
  <fonts count="10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i val="1"/>
      <color rgb="00344A72"/>
      <sz val="10"/>
    </font>
    <font>
      <name val="Microsoft YaHei"/>
      <b val="1"/>
      <color rgb="00FFFFFF"/>
    </font>
    <font>
      <name val="Microsoft YaHei"/>
      <color rgb="00243044"/>
      <sz val="10"/>
    </font>
    <font>
      <name val="Microsoft YaHei"/>
      <b val="1"/>
      <color rgb="00202A44"/>
    </font>
    <font>
      <name val="Microsoft YaHei"/>
      <b val="1"/>
      <color rgb="0017365D"/>
      <sz val="15"/>
    </font>
    <font>
      <name val="Microsoft YaHei"/>
      <i val="1"/>
      <color rgb="0052657A"/>
      <sz val="10"/>
    </font>
    <font>
      <name val="Microsoft YaHei"/>
      <b val="1"/>
      <color rgb="00FFFFFF"/>
      <sz val="10"/>
    </font>
    <font>
      <name val="Microsoft YaHei"/>
      <color rgb="00243247"/>
      <sz val="10"/>
    </font>
  </fonts>
  <fills count="8">
    <fill>
      <patternFill/>
    </fill>
    <fill>
      <patternFill patternType="gray125"/>
    </fill>
    <fill>
      <patternFill patternType="solid">
        <fgColor rgb="00202A44"/>
      </patternFill>
    </fill>
    <fill>
      <patternFill patternType="solid">
        <fgColor rgb="00EAF0F8"/>
      </patternFill>
    </fill>
    <fill>
      <patternFill patternType="solid">
        <fgColor rgb="00344A72"/>
      </patternFill>
    </fill>
    <fill>
      <patternFill patternType="solid">
        <fgColor rgb="00F8FAFD"/>
      </patternFill>
    </fill>
    <fill>
      <patternFill patternType="solid">
        <fgColor rgb="00FBF4E4"/>
      </patternFill>
    </fill>
    <fill>
      <patternFill patternType="solid">
        <fgColor rgb="0017365D"/>
      </patternFill>
    </fill>
  </fills>
  <borders count="3">
    <border>
      <left/>
      <right/>
      <top/>
      <bottom/>
      <diagonal/>
    </border>
    <border>
      <left style="thin">
        <color rgb="00D5DCE7"/>
      </left>
      <right style="thin">
        <color rgb="00D5DCE7"/>
      </right>
      <top style="thin">
        <color rgb="00D5DCE7"/>
      </top>
      <bottom style="thin">
        <color rgb="00D5DCE7"/>
      </bottom>
    </border>
    <border>
      <bottom style="thin">
        <color rgb="00D9E2F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164" fontId="5" fillId="6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top" wrapText="1"/>
    </xf>
    <xf numFmtId="0" fontId="9" fillId="5" borderId="2" applyAlignment="1" pivotButton="0" quotePrefix="0" xfId="0">
      <alignment vertical="top" wrapText="1"/>
    </xf>
    <xf numFmtId="164" fontId="9" fillId="0" borderId="2" applyAlignment="1" pivotButton="0" quotePrefix="0" xfId="0">
      <alignment vertical="top" wrapText="1"/>
    </xf>
    <xf numFmtId="164" fontId="9" fillId="5" borderId="2" applyAlignment="1" pivotButton="0" quotePrefix="0" xfId="0">
      <alignment vertical="top" wrapText="1"/>
    </xf>
    <xf numFmtId="0" fontId="9" fillId="6" borderId="2" applyAlignment="1" pivotButton="0" quotePrefix="0" xfId="0">
      <alignment vertical="top" wrapText="1"/>
    </xf>
    <xf numFmtId="164" fontId="9" fillId="6" borderId="2" applyAlignment="1" pivotButton="0" quotePrefix="0" xfId="0">
      <alignment vertical="top" wrapText="1"/>
    </xf>
    <xf numFmtId="3" fontId="9" fillId="0" borderId="2" applyAlignment="1" pivotButton="0" quotePrefix="0" xfId="0">
      <alignment vertical="top" wrapText="1"/>
    </xf>
    <xf numFmtId="3" fontId="9" fillId="5" borderId="2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B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8" customHeight="1">
      <c r="A1" s="12" t="inlineStr">
        <is>
          <t>卫戍协议·赏金挑战赛｜运营表格模板（规则确认版）</t>
        </is>
      </c>
    </row>
    <row r="2" ht="32" customHeight="1">
      <c r="A2" s="13" t="inlineStr">
        <is>
          <t>依据已确认规则清单更新；活动尚未执行，名单、时间、战绩及实际数据均待填写。</t>
        </is>
      </c>
    </row>
    <row r="3" ht="32" customHeight="1">
      <c r="A3" s="14" t="inlineStr">
        <is>
          <t>项目</t>
        </is>
      </c>
      <c r="B3" s="14" t="inlineStr">
        <is>
          <t>说明</t>
        </is>
      </c>
    </row>
    <row r="4" ht="32" customHeight="1">
      <c r="A4" s="15" t="inlineStr">
        <is>
          <t>活动规模</t>
        </is>
      </c>
      <c r="B4" s="15" t="inlineStr">
        <is>
          <t>规划 24 名正式参赛者、6 支队伍，每队 4 人；每队正式挑战两轮。</t>
        </is>
      </c>
    </row>
    <row r="5" ht="32" customHeight="1">
      <c r="A5" s="16" t="inlineStr">
        <is>
          <t>活动玩法</t>
        </is>
      </c>
      <c r="B5" s="16" t="inlineStr">
        <is>
          <t>卫戍协议·同盟模拟；挑战难度：绝境模拟。</t>
        </is>
      </c>
    </row>
    <row r="6" ht="32" customHeight="1">
      <c r="A6" s="15" t="inlineStr">
        <is>
          <t>积分口径</t>
        </is>
      </c>
      <c r="B6" s="15" t="inlineStr">
        <is>
          <t>活动积分仅用于本次活动排名，不对应真实金额。每队每轮积分上限 5000 分，超出部分不计入排行榜。</t>
        </is>
      </c>
    </row>
    <row r="7" ht="32" customHeight="1">
      <c r="A7" s="16" t="inlineStr">
        <is>
          <t>审核原则</t>
        </is>
      </c>
      <c r="B7" s="16" t="inlineStr">
        <is>
          <t>战绩材料由管理员人工审核；仅审核通过的积分计入排行榜。每轮结束后 12 小时内提交材料。</t>
        </is>
      </c>
    </row>
    <row r="8" ht="32" customHeight="1">
      <c r="A8" s="15" t="inlineStr">
        <is>
          <t>奖品方案</t>
        </is>
      </c>
      <c r="B8" s="15" t="inlineStr">
        <is>
          <t>第 1 名：官方立牌周边×4；第 2 名：月卡×4；第 3 名：20 元红包×4；第 4–6 名：每名队员 6 元红包，共 12 份。</t>
        </is>
      </c>
    </row>
    <row r="9" ht="32" customHeight="1">
      <c r="A9" s="16" t="inlineStr">
        <is>
          <t>预算估算</t>
        </is>
      </c>
      <c r="B9" s="16" t="inlineStr">
        <is>
          <t>奖品预算小计 ¥472；应急预留 ¥100；预算总计 ¥572。采购价格仍需核实。</t>
        </is>
      </c>
    </row>
    <row r="10" ht="32" customHeight="1">
      <c r="A10" s="15" t="inlineStr">
        <is>
          <t>最终成绩</t>
        </is>
      </c>
      <c r="B10" s="15" t="inlineStr">
        <is>
          <t>每队两轮取较高分作为最终积分，不相加；同分依次比较通关、隐藏 Boss、5 金、4 金、3 金击杀数。仍相同则并列。</t>
        </is>
      </c>
    </row>
    <row r="11" ht="32" customHeight="1">
      <c r="A11" s="16" t="inlineStr">
        <is>
          <t>申诉机制</t>
        </is>
      </c>
      <c r="B11" s="16" t="inlineStr">
        <is>
          <t>结果公布后 24 小时内可申诉；申诉期结束后发布最终排行榜。缺席、退赛或证据缺失由组织方调查后个案处理。</t>
        </is>
      </c>
    </row>
    <row r="12" ht="32" customHeight="1">
      <c r="A12" s="15" t="inlineStr">
        <is>
          <t>作品集注意</t>
        </is>
      </c>
      <c r="B12" s="15" t="inlineStr">
        <is>
          <t>使用“策划目标 / 预计 / 拟采用”等措辞；不得将目标数据写成实际活动成效。</t>
        </is>
      </c>
    </row>
  </sheetData>
  <autoFilter ref="A3:B12"/>
  <mergeCells count="2">
    <mergeCell ref="A2:B2"/>
    <mergeCell ref="A1:B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H2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8" customWidth="1" min="3" max="3"/>
    <col width="22" customWidth="1" min="4" max="4"/>
    <col width="22" customWidth="1" min="5" max="5"/>
    <col width="14" customWidth="1" min="6" max="6"/>
    <col width="12" customWidth="1" min="7" max="7"/>
    <col width="28" customWidth="1" min="8" max="8"/>
  </cols>
  <sheetData>
    <row r="1" ht="28" customHeight="1">
      <c r="A1" s="12" t="inlineStr">
        <is>
          <t>报名统计表</t>
        </is>
      </c>
    </row>
    <row r="2" ht="32" customHeight="1">
      <c r="A2" s="13" t="inlineStr">
        <is>
          <t>规划正式参赛名额 24 人；仅收集活动组织所需信息。</t>
        </is>
      </c>
    </row>
    <row r="3" ht="32" customHeight="1">
      <c r="A3" s="14" t="inlineStr">
        <is>
          <t>序号</t>
        </is>
      </c>
      <c r="B3" s="14" t="inlineStr">
        <is>
          <t>游戏昵称</t>
        </is>
      </c>
      <c r="C3" s="14" t="inlineStr">
        <is>
          <t>联系方式/群内身份备注</t>
        </is>
      </c>
      <c r="D3" s="14" t="inlineStr">
        <is>
          <t>可参与时间</t>
        </is>
      </c>
      <c r="E3" s="14" t="inlineStr">
        <is>
          <t>固定队友</t>
        </is>
      </c>
      <c r="F3" s="14" t="inlineStr">
        <is>
          <t>报名状态</t>
        </is>
      </c>
      <c r="G3" s="14" t="inlineStr">
        <is>
          <t>是否候补</t>
        </is>
      </c>
      <c r="H3" s="14" t="inlineStr">
        <is>
          <t>备注</t>
        </is>
      </c>
    </row>
    <row r="4" ht="32" customHeight="1">
      <c r="A4" s="15" t="n">
        <v>1</v>
      </c>
      <c r="B4" s="4" t="inlineStr"/>
      <c r="C4" s="4" t="inlineStr"/>
      <c r="D4" s="4" t="inlineStr"/>
      <c r="E4" s="4" t="inlineStr"/>
      <c r="F4" s="15" t="inlineStr">
        <is>
          <t>待审核</t>
        </is>
      </c>
      <c r="G4" s="15" t="inlineStr">
        <is>
          <t>否</t>
        </is>
      </c>
      <c r="H4" s="4" t="inlineStr"/>
    </row>
    <row r="5" ht="32" customHeight="1">
      <c r="A5" s="16" t="n">
        <v>2</v>
      </c>
      <c r="B5" s="5" t="inlineStr"/>
      <c r="C5" s="5" t="inlineStr"/>
      <c r="D5" s="5" t="inlineStr"/>
      <c r="E5" s="5" t="inlineStr"/>
      <c r="F5" s="16" t="inlineStr">
        <is>
          <t>待审核</t>
        </is>
      </c>
      <c r="G5" s="16" t="inlineStr">
        <is>
          <t>否</t>
        </is>
      </c>
      <c r="H5" s="5" t="inlineStr"/>
    </row>
    <row r="6" ht="32" customHeight="1">
      <c r="A6" s="15" t="n">
        <v>3</v>
      </c>
      <c r="B6" s="4" t="inlineStr"/>
      <c r="C6" s="4" t="inlineStr"/>
      <c r="D6" s="4" t="inlineStr"/>
      <c r="E6" s="4" t="inlineStr"/>
      <c r="F6" s="15" t="inlineStr">
        <is>
          <t>待审核</t>
        </is>
      </c>
      <c r="G6" s="15" t="inlineStr">
        <is>
          <t>否</t>
        </is>
      </c>
      <c r="H6" s="4" t="inlineStr"/>
    </row>
    <row r="7" ht="32" customHeight="1">
      <c r="A7" s="16" t="n">
        <v>4</v>
      </c>
      <c r="B7" s="5" t="inlineStr"/>
      <c r="C7" s="5" t="inlineStr"/>
      <c r="D7" s="5" t="inlineStr"/>
      <c r="E7" s="5" t="inlineStr"/>
      <c r="F7" s="16" t="inlineStr">
        <is>
          <t>待审核</t>
        </is>
      </c>
      <c r="G7" s="16" t="inlineStr">
        <is>
          <t>否</t>
        </is>
      </c>
      <c r="H7" s="5" t="inlineStr"/>
    </row>
    <row r="8" ht="32" customHeight="1">
      <c r="A8" s="15" t="n">
        <v>5</v>
      </c>
      <c r="B8" s="4" t="inlineStr"/>
      <c r="C8" s="4" t="inlineStr"/>
      <c r="D8" s="4" t="inlineStr"/>
      <c r="E8" s="4" t="inlineStr"/>
      <c r="F8" s="15" t="inlineStr">
        <is>
          <t>待审核</t>
        </is>
      </c>
      <c r="G8" s="15" t="inlineStr">
        <is>
          <t>否</t>
        </is>
      </c>
      <c r="H8" s="4" t="inlineStr"/>
    </row>
    <row r="9" ht="32" customHeight="1">
      <c r="A9" s="16" t="n">
        <v>6</v>
      </c>
      <c r="B9" s="5" t="inlineStr"/>
      <c r="C9" s="5" t="inlineStr"/>
      <c r="D9" s="5" t="inlineStr"/>
      <c r="E9" s="5" t="inlineStr"/>
      <c r="F9" s="16" t="inlineStr">
        <is>
          <t>待审核</t>
        </is>
      </c>
      <c r="G9" s="16" t="inlineStr">
        <is>
          <t>否</t>
        </is>
      </c>
      <c r="H9" s="5" t="inlineStr"/>
    </row>
    <row r="10" ht="32" customHeight="1">
      <c r="A10" s="15" t="n">
        <v>7</v>
      </c>
      <c r="B10" s="4" t="inlineStr"/>
      <c r="C10" s="4" t="inlineStr"/>
      <c r="D10" s="4" t="inlineStr"/>
      <c r="E10" s="4" t="inlineStr"/>
      <c r="F10" s="15" t="inlineStr">
        <is>
          <t>待审核</t>
        </is>
      </c>
      <c r="G10" s="15" t="inlineStr">
        <is>
          <t>否</t>
        </is>
      </c>
      <c r="H10" s="4" t="inlineStr"/>
    </row>
    <row r="11" ht="32" customHeight="1">
      <c r="A11" s="16" t="n">
        <v>8</v>
      </c>
      <c r="B11" s="5" t="inlineStr"/>
      <c r="C11" s="5" t="inlineStr"/>
      <c r="D11" s="5" t="inlineStr"/>
      <c r="E11" s="5" t="inlineStr"/>
      <c r="F11" s="16" t="inlineStr">
        <is>
          <t>待审核</t>
        </is>
      </c>
      <c r="G11" s="16" t="inlineStr">
        <is>
          <t>否</t>
        </is>
      </c>
      <c r="H11" s="5" t="inlineStr"/>
    </row>
    <row r="12" ht="32" customHeight="1">
      <c r="A12" s="15" t="n">
        <v>9</v>
      </c>
      <c r="B12" s="4" t="inlineStr"/>
      <c r="C12" s="4" t="inlineStr"/>
      <c r="D12" s="4" t="inlineStr"/>
      <c r="E12" s="4" t="inlineStr"/>
      <c r="F12" s="15" t="inlineStr">
        <is>
          <t>待审核</t>
        </is>
      </c>
      <c r="G12" s="15" t="inlineStr">
        <is>
          <t>否</t>
        </is>
      </c>
      <c r="H12" s="4" t="inlineStr"/>
    </row>
    <row r="13" ht="32" customHeight="1">
      <c r="A13" s="16" t="n">
        <v>10</v>
      </c>
      <c r="B13" s="5" t="inlineStr"/>
      <c r="C13" s="5" t="inlineStr"/>
      <c r="D13" s="5" t="inlineStr"/>
      <c r="E13" s="5" t="inlineStr"/>
      <c r="F13" s="16" t="inlineStr">
        <is>
          <t>待审核</t>
        </is>
      </c>
      <c r="G13" s="16" t="inlineStr">
        <is>
          <t>否</t>
        </is>
      </c>
      <c r="H13" s="5" t="inlineStr"/>
    </row>
    <row r="14" ht="32" customHeight="1">
      <c r="A14" s="15" t="n">
        <v>11</v>
      </c>
      <c r="B14" s="4" t="inlineStr"/>
      <c r="C14" s="4" t="inlineStr"/>
      <c r="D14" s="4" t="inlineStr"/>
      <c r="E14" s="4" t="inlineStr"/>
      <c r="F14" s="15" t="inlineStr">
        <is>
          <t>待审核</t>
        </is>
      </c>
      <c r="G14" s="15" t="inlineStr">
        <is>
          <t>否</t>
        </is>
      </c>
      <c r="H14" s="4" t="inlineStr"/>
    </row>
    <row r="15" ht="32" customHeight="1">
      <c r="A15" s="16" t="n">
        <v>12</v>
      </c>
      <c r="B15" s="5" t="inlineStr"/>
      <c r="C15" s="5" t="inlineStr"/>
      <c r="D15" s="5" t="inlineStr"/>
      <c r="E15" s="5" t="inlineStr"/>
      <c r="F15" s="16" t="inlineStr">
        <is>
          <t>待审核</t>
        </is>
      </c>
      <c r="G15" s="16" t="inlineStr">
        <is>
          <t>否</t>
        </is>
      </c>
      <c r="H15" s="5" t="inlineStr"/>
    </row>
    <row r="16" ht="32" customHeight="1">
      <c r="A16" s="15" t="n">
        <v>13</v>
      </c>
      <c r="B16" s="4" t="inlineStr"/>
      <c r="C16" s="4" t="inlineStr"/>
      <c r="D16" s="4" t="inlineStr"/>
      <c r="E16" s="4" t="inlineStr"/>
      <c r="F16" s="15" t="inlineStr">
        <is>
          <t>待审核</t>
        </is>
      </c>
      <c r="G16" s="15" t="inlineStr">
        <is>
          <t>否</t>
        </is>
      </c>
      <c r="H16" s="4" t="inlineStr"/>
    </row>
    <row r="17" ht="32" customHeight="1">
      <c r="A17" s="16" t="n">
        <v>14</v>
      </c>
      <c r="B17" s="5" t="inlineStr"/>
      <c r="C17" s="5" t="inlineStr"/>
      <c r="D17" s="5" t="inlineStr"/>
      <c r="E17" s="5" t="inlineStr"/>
      <c r="F17" s="16" t="inlineStr">
        <is>
          <t>待审核</t>
        </is>
      </c>
      <c r="G17" s="16" t="inlineStr">
        <is>
          <t>否</t>
        </is>
      </c>
      <c r="H17" s="5" t="inlineStr"/>
    </row>
    <row r="18" ht="32" customHeight="1">
      <c r="A18" s="15" t="n">
        <v>15</v>
      </c>
      <c r="B18" s="4" t="inlineStr"/>
      <c r="C18" s="4" t="inlineStr"/>
      <c r="D18" s="4" t="inlineStr"/>
      <c r="E18" s="4" t="inlineStr"/>
      <c r="F18" s="15" t="inlineStr">
        <is>
          <t>待审核</t>
        </is>
      </c>
      <c r="G18" s="15" t="inlineStr">
        <is>
          <t>否</t>
        </is>
      </c>
      <c r="H18" s="4" t="inlineStr"/>
    </row>
    <row r="19" ht="32" customHeight="1">
      <c r="A19" s="16" t="n">
        <v>16</v>
      </c>
      <c r="B19" s="5" t="inlineStr"/>
      <c r="C19" s="5" t="inlineStr"/>
      <c r="D19" s="5" t="inlineStr"/>
      <c r="E19" s="5" t="inlineStr"/>
      <c r="F19" s="16" t="inlineStr">
        <is>
          <t>待审核</t>
        </is>
      </c>
      <c r="G19" s="16" t="inlineStr">
        <is>
          <t>否</t>
        </is>
      </c>
      <c r="H19" s="5" t="inlineStr"/>
    </row>
    <row r="20" ht="32" customHeight="1">
      <c r="A20" s="15" t="n">
        <v>17</v>
      </c>
      <c r="B20" s="4" t="inlineStr"/>
      <c r="C20" s="4" t="inlineStr"/>
      <c r="D20" s="4" t="inlineStr"/>
      <c r="E20" s="4" t="inlineStr"/>
      <c r="F20" s="15" t="inlineStr">
        <is>
          <t>待审核</t>
        </is>
      </c>
      <c r="G20" s="15" t="inlineStr">
        <is>
          <t>否</t>
        </is>
      </c>
      <c r="H20" s="4" t="inlineStr"/>
    </row>
    <row r="21" ht="32" customHeight="1">
      <c r="A21" s="16" t="n">
        <v>18</v>
      </c>
      <c r="B21" s="5" t="inlineStr"/>
      <c r="C21" s="5" t="inlineStr"/>
      <c r="D21" s="5" t="inlineStr"/>
      <c r="E21" s="5" t="inlineStr"/>
      <c r="F21" s="16" t="inlineStr">
        <is>
          <t>待审核</t>
        </is>
      </c>
      <c r="G21" s="16" t="inlineStr">
        <is>
          <t>否</t>
        </is>
      </c>
      <c r="H21" s="5" t="inlineStr"/>
    </row>
    <row r="22" ht="32" customHeight="1">
      <c r="A22" s="15" t="n">
        <v>19</v>
      </c>
      <c r="B22" s="4" t="inlineStr"/>
      <c r="C22" s="4" t="inlineStr"/>
      <c r="D22" s="4" t="inlineStr"/>
      <c r="E22" s="4" t="inlineStr"/>
      <c r="F22" s="15" t="inlineStr">
        <is>
          <t>待审核</t>
        </is>
      </c>
      <c r="G22" s="15" t="inlineStr">
        <is>
          <t>否</t>
        </is>
      </c>
      <c r="H22" s="4" t="inlineStr"/>
    </row>
    <row r="23" ht="32" customHeight="1">
      <c r="A23" s="16" t="n">
        <v>20</v>
      </c>
      <c r="B23" s="5" t="inlineStr"/>
      <c r="C23" s="5" t="inlineStr"/>
      <c r="D23" s="5" t="inlineStr"/>
      <c r="E23" s="5" t="inlineStr"/>
      <c r="F23" s="16" t="inlineStr">
        <is>
          <t>待审核</t>
        </is>
      </c>
      <c r="G23" s="16" t="inlineStr">
        <is>
          <t>否</t>
        </is>
      </c>
      <c r="H23" s="5" t="inlineStr"/>
    </row>
    <row r="24" ht="32" customHeight="1">
      <c r="A24" s="15" t="n">
        <v>21</v>
      </c>
      <c r="B24" s="4" t="inlineStr"/>
      <c r="C24" s="4" t="inlineStr"/>
      <c r="D24" s="4" t="inlineStr"/>
      <c r="E24" s="4" t="inlineStr"/>
      <c r="F24" s="15" t="inlineStr">
        <is>
          <t>待审核</t>
        </is>
      </c>
      <c r="G24" s="15" t="inlineStr">
        <is>
          <t>否</t>
        </is>
      </c>
      <c r="H24" s="4" t="inlineStr"/>
    </row>
    <row r="25" ht="32" customHeight="1">
      <c r="A25" s="16" t="n">
        <v>22</v>
      </c>
      <c r="B25" s="5" t="inlineStr"/>
      <c r="C25" s="5" t="inlineStr"/>
      <c r="D25" s="5" t="inlineStr"/>
      <c r="E25" s="5" t="inlineStr"/>
      <c r="F25" s="16" t="inlineStr">
        <is>
          <t>待审核</t>
        </is>
      </c>
      <c r="G25" s="16" t="inlineStr">
        <is>
          <t>否</t>
        </is>
      </c>
      <c r="H25" s="5" t="inlineStr"/>
    </row>
    <row r="26" ht="32" customHeight="1">
      <c r="A26" s="15" t="n">
        <v>23</v>
      </c>
      <c r="B26" s="4" t="inlineStr"/>
      <c r="C26" s="4" t="inlineStr"/>
      <c r="D26" s="4" t="inlineStr"/>
      <c r="E26" s="4" t="inlineStr"/>
      <c r="F26" s="15" t="inlineStr">
        <is>
          <t>待审核</t>
        </is>
      </c>
      <c r="G26" s="15" t="inlineStr">
        <is>
          <t>否</t>
        </is>
      </c>
      <c r="H26" s="4" t="inlineStr"/>
    </row>
    <row r="27" ht="32" customHeight="1">
      <c r="A27" s="16" t="n">
        <v>24</v>
      </c>
      <c r="B27" s="5" t="inlineStr"/>
      <c r="C27" s="5" t="inlineStr"/>
      <c r="D27" s="5" t="inlineStr"/>
      <c r="E27" s="5" t="inlineStr"/>
      <c r="F27" s="16" t="inlineStr">
        <is>
          <t>待审核</t>
        </is>
      </c>
      <c r="G27" s="16" t="inlineStr">
        <is>
          <t>否</t>
        </is>
      </c>
      <c r="H27" s="5" t="inlineStr"/>
    </row>
  </sheetData>
  <autoFilter ref="A3:H27"/>
  <mergeCells count="2">
    <mergeCell ref="A2:H2"/>
    <mergeCell ref="A1:H1"/>
  </mergeCells>
  <conditionalFormatting sqref="F4:F27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2">
    <dataValidation sqref="F4:F27" showDropDown="0" showInputMessage="0" showErrorMessage="0" allowBlank="1" type="list">
      <formula1>"待审核,已确认,候补,取消报名"</formula1>
    </dataValidation>
    <dataValidation sqref="G4:G27" showDropDown="0" showInputMessage="0" showErrorMessage="0" allowBlank="1" type="list">
      <formula1>"是,否"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H9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34" customWidth="1" min="6" max="6"/>
    <col width="14" customWidth="1" min="7" max="7"/>
    <col width="24" customWidth="1" min="8" max="8"/>
  </cols>
  <sheetData>
    <row r="1" ht="28" customHeight="1">
      <c r="A1" s="12" t="inlineStr">
        <is>
          <t>分组与队长名单</t>
        </is>
      </c>
    </row>
    <row r="2" ht="32" customHeight="1">
      <c r="A2" s="13" t="inlineStr">
        <is>
          <t>共 6 支队伍，每队 4 人；昵称、队长及轮次时间由负责人确认后填写。</t>
        </is>
      </c>
    </row>
    <row r="3" ht="32" customHeight="1">
      <c r="A3" s="14" t="inlineStr">
        <is>
          <t>队伍</t>
        </is>
      </c>
      <c r="B3" s="14" t="inlineStr">
        <is>
          <t>队长</t>
        </is>
      </c>
      <c r="C3" s="14" t="inlineStr">
        <is>
          <t>队员 2</t>
        </is>
      </c>
      <c r="D3" s="14" t="inlineStr">
        <is>
          <t>队员 3</t>
        </is>
      </c>
      <c r="E3" s="14" t="inlineStr">
        <is>
          <t>队员 4</t>
        </is>
      </c>
      <c r="F3" s="14" t="inlineStr">
        <is>
          <t>轮次安排</t>
        </is>
      </c>
      <c r="G3" s="14" t="inlineStr">
        <is>
          <t>确认状态</t>
        </is>
      </c>
      <c r="H3" s="14" t="inlineStr">
        <is>
          <t>备注</t>
        </is>
      </c>
    </row>
    <row r="4" ht="32" customHeight="1">
      <c r="A4" s="15" t="inlineStr">
        <is>
          <t>第 1 队</t>
        </is>
      </c>
      <c r="B4" s="4" t="inlineStr"/>
      <c r="C4" s="4" t="inlineStr"/>
      <c r="D4" s="4" t="inlineStr"/>
      <c r="E4" s="4" t="inlineStr"/>
      <c r="F4" s="15" t="inlineStr">
        <is>
          <t>第 1 轮：待安排；第 2 轮：待安排</t>
        </is>
      </c>
      <c r="G4" s="15" t="inlineStr">
        <is>
          <t>待确认</t>
        </is>
      </c>
      <c r="H4" s="4" t="inlineStr"/>
    </row>
    <row r="5" ht="32" customHeight="1">
      <c r="A5" s="16" t="inlineStr">
        <is>
          <t>第 2 队</t>
        </is>
      </c>
      <c r="B5" s="5" t="inlineStr"/>
      <c r="C5" s="5" t="inlineStr"/>
      <c r="D5" s="5" t="inlineStr"/>
      <c r="E5" s="5" t="inlineStr"/>
      <c r="F5" s="16" t="inlineStr">
        <is>
          <t>第 1 轮：待安排；第 2 轮：待安排</t>
        </is>
      </c>
      <c r="G5" s="16" t="inlineStr">
        <is>
          <t>待确认</t>
        </is>
      </c>
      <c r="H5" s="5" t="inlineStr"/>
    </row>
    <row r="6" ht="32" customHeight="1">
      <c r="A6" s="15" t="inlineStr">
        <is>
          <t>第 3 队</t>
        </is>
      </c>
      <c r="B6" s="4" t="inlineStr"/>
      <c r="C6" s="4" t="inlineStr"/>
      <c r="D6" s="4" t="inlineStr"/>
      <c r="E6" s="4" t="inlineStr"/>
      <c r="F6" s="15" t="inlineStr">
        <is>
          <t>第 1 轮：待安排；第 2 轮：待安排</t>
        </is>
      </c>
      <c r="G6" s="15" t="inlineStr">
        <is>
          <t>待确认</t>
        </is>
      </c>
      <c r="H6" s="4" t="inlineStr"/>
    </row>
    <row r="7" ht="32" customHeight="1">
      <c r="A7" s="16" t="inlineStr">
        <is>
          <t>第 4 队</t>
        </is>
      </c>
      <c r="B7" s="5" t="inlineStr"/>
      <c r="C7" s="5" t="inlineStr"/>
      <c r="D7" s="5" t="inlineStr"/>
      <c r="E7" s="5" t="inlineStr"/>
      <c r="F7" s="16" t="inlineStr">
        <is>
          <t>第 1 轮：待安排；第 2 轮：待安排</t>
        </is>
      </c>
      <c r="G7" s="16" t="inlineStr">
        <is>
          <t>待确认</t>
        </is>
      </c>
      <c r="H7" s="5" t="inlineStr"/>
    </row>
    <row r="8" ht="32" customHeight="1">
      <c r="A8" s="15" t="inlineStr">
        <is>
          <t>第 5 队</t>
        </is>
      </c>
      <c r="B8" s="4" t="inlineStr"/>
      <c r="C8" s="4" t="inlineStr"/>
      <c r="D8" s="4" t="inlineStr"/>
      <c r="E8" s="4" t="inlineStr"/>
      <c r="F8" s="15" t="inlineStr">
        <is>
          <t>第 1 轮：待安排；第 2 轮：待安排</t>
        </is>
      </c>
      <c r="G8" s="15" t="inlineStr">
        <is>
          <t>待确认</t>
        </is>
      </c>
      <c r="H8" s="4" t="inlineStr"/>
    </row>
    <row r="9" ht="32" customHeight="1">
      <c r="A9" s="16" t="inlineStr">
        <is>
          <t>第 6 队</t>
        </is>
      </c>
      <c r="B9" s="5" t="inlineStr"/>
      <c r="C9" s="5" t="inlineStr"/>
      <c r="D9" s="5" t="inlineStr"/>
      <c r="E9" s="5" t="inlineStr"/>
      <c r="F9" s="16" t="inlineStr">
        <is>
          <t>第 1 轮：待安排；第 2 轮：待安排</t>
        </is>
      </c>
      <c r="G9" s="16" t="inlineStr">
        <is>
          <t>待确认</t>
        </is>
      </c>
      <c r="H9" s="5" t="inlineStr"/>
    </row>
  </sheetData>
  <autoFilter ref="A3:H9"/>
  <mergeCells count="2">
    <mergeCell ref="A2:H2"/>
    <mergeCell ref="A1:H1"/>
  </mergeCells>
  <conditionalFormatting sqref="G4:G9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G4:G9" showDropDown="0" showInputMessage="0" showErrorMessage="0" allowBlank="1" type="list">
      <formula1>"待确认,已确认,需调整"</formula1>
    </dataValidation>
  </dataValidation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H10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10" customWidth="1" min="4" max="4"/>
    <col width="18" customWidth="1" min="5" max="5"/>
    <col width="18" customWidth="1" min="6" max="6"/>
    <col width="52" customWidth="1" min="7" max="7"/>
    <col width="14" customWidth="1" min="8" max="8"/>
  </cols>
  <sheetData>
    <row r="1" ht="28" customHeight="1">
      <c r="A1" s="12" t="inlineStr">
        <is>
          <t>预算申报表</t>
        </is>
      </c>
    </row>
    <row r="2" ht="32" customHeight="1">
      <c r="A2" s="13" t="inlineStr">
        <is>
          <t>奖品方案按已确认规则统一；预算单价为原方案估算，正式申报前需核实采购价格。</t>
        </is>
      </c>
    </row>
    <row r="3" ht="32" customHeight="1">
      <c r="A3" s="14" t="inlineStr">
        <is>
          <t>编号</t>
        </is>
      </c>
      <c r="B3" s="14" t="inlineStr">
        <is>
          <t>奖项/类别</t>
        </is>
      </c>
      <c r="C3" s="14" t="inlineStr">
        <is>
          <t>预算项目</t>
        </is>
      </c>
      <c r="D3" s="14" t="inlineStr">
        <is>
          <t>数量</t>
        </is>
      </c>
      <c r="E3" s="14" t="inlineStr">
        <is>
          <t>预算单价（元）</t>
        </is>
      </c>
      <c r="F3" s="14" t="inlineStr">
        <is>
          <t>预算小计（元）</t>
        </is>
      </c>
      <c r="G3" s="14" t="inlineStr">
        <is>
          <t>说明</t>
        </is>
      </c>
      <c r="H3" s="14" t="inlineStr">
        <is>
          <t>申报状态</t>
        </is>
      </c>
    </row>
    <row r="4" ht="32" customHeight="1">
      <c r="A4" s="15" t="inlineStr">
        <is>
          <t>B001</t>
        </is>
      </c>
      <c r="B4" s="15" t="inlineStr">
        <is>
          <t>第一名</t>
        </is>
      </c>
      <c r="C4" s="15" t="inlineStr">
        <is>
          <t>明日方舟官方立牌周边</t>
        </is>
      </c>
      <c r="D4" s="15" t="n">
        <v>4</v>
      </c>
      <c r="E4" s="17" t="n">
        <v>50</v>
      </c>
      <c r="F4" s="17">
        <f>D4*E4</f>
        <v/>
      </c>
      <c r="G4" s="15" t="inlineStr">
        <is>
          <t>预算估算；官方立牌具体款式、采购渠道及实际单价待核实。</t>
        </is>
      </c>
      <c r="H4" s="15" t="inlineStr">
        <is>
          <t>待申报</t>
        </is>
      </c>
    </row>
    <row r="5" ht="32" customHeight="1">
      <c r="A5" s="16" t="inlineStr">
        <is>
          <t>B002</t>
        </is>
      </c>
      <c r="B5" s="16" t="inlineStr">
        <is>
          <t>第二名</t>
        </is>
      </c>
      <c r="C5" s="16" t="inlineStr">
        <is>
          <t>月卡</t>
        </is>
      </c>
      <c r="D5" s="16" t="n">
        <v>4</v>
      </c>
      <c r="E5" s="18" t="n">
        <v>30</v>
      </c>
      <c r="F5" s="18">
        <f>D5*E5</f>
        <v/>
      </c>
      <c r="G5" s="16" t="inlineStr">
        <is>
          <t>预算估算；月卡类型、发放方式及实际单价待核实。</t>
        </is>
      </c>
      <c r="H5" s="16" t="inlineStr">
        <is>
          <t>待申报</t>
        </is>
      </c>
    </row>
    <row r="6" ht="32" customHeight="1">
      <c r="A6" s="15" t="inlineStr">
        <is>
          <t>B003</t>
        </is>
      </c>
      <c r="B6" s="15" t="inlineStr">
        <is>
          <t>第 3 名</t>
        </is>
      </c>
      <c r="C6" s="15" t="inlineStr">
        <is>
          <t>20 元红包</t>
        </is>
      </c>
      <c r="D6" s="15" t="n">
        <v>4</v>
      </c>
      <c r="E6" s="17" t="n">
        <v>20</v>
      </c>
      <c r="F6" s="17">
        <f>D6*E6</f>
        <v/>
      </c>
      <c r="G6" s="15" t="inlineStr">
        <is>
          <t>4 份，每名队员 20 元红包。</t>
        </is>
      </c>
      <c r="H6" s="15" t="inlineStr">
        <is>
          <t>待申报</t>
        </is>
      </c>
    </row>
    <row r="7" ht="32" customHeight="1">
      <c r="A7" s="16" t="inlineStr">
        <is>
          <t>B004</t>
        </is>
      </c>
      <c r="B7" s="16" t="inlineStr">
        <is>
          <t>第 4–6 名</t>
        </is>
      </c>
      <c r="C7" s="16" t="inlineStr">
        <is>
          <t>6 元红包</t>
        </is>
      </c>
      <c r="D7" s="16" t="n">
        <v>12</v>
      </c>
      <c r="E7" s="18" t="n">
        <v>6</v>
      </c>
      <c r="F7" s="18">
        <f>D7*E7</f>
        <v/>
      </c>
      <c r="G7" s="16" t="inlineStr">
        <is>
          <t>第 4–6 名每队 4 人均发放，每人 6 元；共 12 份，合计 72 元。</t>
        </is>
      </c>
      <c r="H7" s="16" t="inlineStr">
        <is>
          <t>待申报</t>
        </is>
      </c>
    </row>
    <row r="8" ht="32" customHeight="1">
      <c r="A8" s="15" t="inlineStr">
        <is>
          <t>B005</t>
        </is>
      </c>
      <c r="B8" s="15" t="inlineStr">
        <is>
          <t>宣传物料</t>
        </is>
      </c>
      <c r="C8" s="15" t="inlineStr">
        <is>
          <t>群内电子版宣传物料</t>
        </is>
      </c>
      <c r="D8" s="15" t="n">
        <v>1</v>
      </c>
      <c r="E8" s="17" t="n">
        <v>0</v>
      </c>
      <c r="F8" s="17">
        <f>D8*E8</f>
        <v/>
      </c>
      <c r="G8" s="15" t="inlineStr">
        <is>
          <t>无预算支出</t>
        </is>
      </c>
      <c r="H8" s="15" t="inlineStr">
        <is>
          <t>待申报</t>
        </is>
      </c>
    </row>
    <row r="9" ht="32" customHeight="1">
      <c r="A9" s="16" t="inlineStr">
        <is>
          <t>B006</t>
        </is>
      </c>
      <c r="B9" s="16" t="inlineStr">
        <is>
          <t>应急预留</t>
        </is>
      </c>
      <c r="C9" s="16" t="inlineStr">
        <is>
          <t>临时补充及不可预见支出</t>
        </is>
      </c>
      <c r="D9" s="16" t="n">
        <v>1</v>
      </c>
      <c r="E9" s="18" t="n">
        <v>100</v>
      </c>
      <c r="F9" s="18">
        <f>D9*E9</f>
        <v/>
      </c>
      <c r="G9" s="16" t="inlineStr">
        <is>
          <t>应急预留 100 元，不代表必须支出；实际支出留存凭证。</t>
        </is>
      </c>
      <c r="H9" s="16" t="inlineStr">
        <is>
          <t>待申报</t>
        </is>
      </c>
    </row>
    <row r="10" ht="32" customHeight="1">
      <c r="A10" s="8" t="inlineStr"/>
      <c r="B10" s="8" t="inlineStr"/>
      <c r="C10" s="19" t="inlineStr">
        <is>
          <t>预算总计</t>
        </is>
      </c>
      <c r="D10" s="8" t="inlineStr"/>
      <c r="E10" s="8" t="inlineStr"/>
      <c r="F10" s="20">
        <f>SUM(F4:F9)</f>
        <v/>
      </c>
      <c r="G10" s="19" t="inlineStr">
        <is>
          <t>奖品预算小计 472 元；含应急预留总计 572 元。</t>
        </is>
      </c>
      <c r="H10" s="8" t="inlineStr"/>
    </row>
  </sheetData>
  <autoFilter ref="A3:H10"/>
  <mergeCells count="2">
    <mergeCell ref="A2:H2"/>
    <mergeCell ref="A1:H1"/>
  </mergeCells>
  <dataValidations count="1">
    <dataValidation sqref="H4:H9" showDropDown="0" showInputMessage="0" showErrorMessage="0" allowBlank="1" type="list">
      <formula1>"待申报,已申报,已批准,已采购,已发放,不适用"</formula1>
    </dataValidation>
  </dataValidation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D18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88" customWidth="1" min="3" max="3"/>
    <col width="14" customWidth="1" min="4" max="4"/>
  </cols>
  <sheetData>
    <row r="1" ht="28" customHeight="1">
      <c r="A1" s="12" t="inlineStr">
        <is>
          <t>赏金积分规则｜已确认版</t>
        </is>
      </c>
    </row>
    <row r="2" ht="32" customHeight="1">
      <c r="A2" s="13" t="inlineStr">
        <is>
          <t>活动积分仅用于本次活动排名，不对应真实金额；积分按每队每轮单独核算，单轮上限 5000 分。</t>
        </is>
      </c>
    </row>
    <row r="3" ht="32" customHeight="1">
      <c r="A3" s="14" t="inlineStr">
        <is>
          <t>挑战目标</t>
        </is>
      </c>
      <c r="B3" s="14" t="inlineStr">
        <is>
          <t>奖励积分</t>
        </is>
      </c>
      <c r="C3" s="14" t="inlineStr">
        <is>
          <t>计分规则 / 证据要求</t>
        </is>
      </c>
      <c r="D3" s="14" t="inlineStr">
        <is>
          <t>确认状态</t>
        </is>
      </c>
    </row>
    <row r="4" ht="32" customHeight="1">
      <c r="A4" s="15" t="inlineStr">
        <is>
          <t>成功通关</t>
        </is>
      </c>
      <c r="B4" s="15" t="n">
        <v>2500</v>
      </c>
      <c r="C4" s="15" t="inlineStr">
        <is>
          <t>每队每轮最多计 1 次；以有效通关结果截图/录像为证。</t>
        </is>
      </c>
      <c r="D4" s="15" t="inlineStr">
        <is>
          <t>已确认</t>
        </is>
      </c>
    </row>
    <row r="5" ht="32" customHeight="1">
      <c r="A5" s="16" t="inlineStr">
        <is>
          <t>击杀隐藏 Boss</t>
        </is>
      </c>
      <c r="B5" s="16" t="n">
        <v>500</v>
      </c>
      <c r="C5" s="16" t="inlineStr">
        <is>
          <t>每队每轮最多计 1 次；按游戏内隐藏 Boss 定义核验。</t>
        </is>
      </c>
      <c r="D5" s="16" t="inlineStr">
        <is>
          <t>已确认</t>
        </is>
      </c>
    </row>
    <row r="6" ht="32" customHeight="1">
      <c r="A6" s="15" t="inlineStr">
        <is>
          <t>击杀 5 金悬赏目标</t>
        </is>
      </c>
      <c r="B6" s="15" t="n">
        <v>200</v>
      </c>
      <c r="C6" s="15" t="inlineStr">
        <is>
          <t>按游戏内悬赏星级判断；每次有效击杀均计分。</t>
        </is>
      </c>
      <c r="D6" s="15" t="inlineStr">
        <is>
          <t>已确认</t>
        </is>
      </c>
    </row>
    <row r="7" ht="32" customHeight="1">
      <c r="A7" s="16" t="inlineStr">
        <is>
          <t>击杀 4 金悬赏目标</t>
        </is>
      </c>
      <c r="B7" s="16" t="n">
        <v>150</v>
      </c>
      <c r="C7" s="16" t="inlineStr">
        <is>
          <t>按游戏内悬赏星级判断；每次有效击杀均计分。</t>
        </is>
      </c>
      <c r="D7" s="16" t="inlineStr">
        <is>
          <t>已确认</t>
        </is>
      </c>
    </row>
    <row r="8" ht="32" customHeight="1">
      <c r="A8" s="15" t="inlineStr">
        <is>
          <t>击杀 3 金悬赏目标</t>
        </is>
      </c>
      <c r="B8" s="15" t="n">
        <v>100</v>
      </c>
      <c r="C8" s="15" t="inlineStr">
        <is>
          <t>按游戏内悬赏星级判断；每次有效击杀均计分。</t>
        </is>
      </c>
      <c r="D8" s="15" t="inlineStr">
        <is>
          <t>已确认</t>
        </is>
      </c>
    </row>
    <row r="9" ht="32" customHeight="1">
      <c r="A9" s="16" t="inlineStr">
        <is>
          <t>击杀「铳」</t>
        </is>
      </c>
      <c r="B9" s="16" t="n">
        <v>200</v>
      </c>
      <c r="C9" s="16" t="inlineStr">
        <is>
          <t>每次有效击杀计分；与「锏」分开统计。</t>
        </is>
      </c>
      <c r="D9" s="16" t="inlineStr">
        <is>
          <t>已确认</t>
        </is>
      </c>
    </row>
    <row r="10" ht="32" customHeight="1">
      <c r="A10" s="15" t="inlineStr">
        <is>
          <t>击杀「锏」</t>
        </is>
      </c>
      <c r="B10" s="15" t="n">
        <v>200</v>
      </c>
      <c r="C10" s="15" t="inlineStr">
        <is>
          <t>每次有效击杀计分；与「铳」分开统计。</t>
        </is>
      </c>
      <c r="D10" s="15" t="inlineStr">
        <is>
          <t>已确认</t>
        </is>
      </c>
    </row>
    <row r="11" ht="32" customHeight="1">
      <c r="A11" s="16" t="inlineStr">
        <is>
          <t>击杀「灼藤」</t>
        </is>
      </c>
      <c r="B11" s="16" t="n">
        <v>30</v>
      </c>
      <c r="C11" s="16" t="inlineStr">
        <is>
          <t>每次有效击杀计分。</t>
        </is>
      </c>
      <c r="D11" s="16" t="inlineStr">
        <is>
          <t>已确认</t>
        </is>
      </c>
    </row>
    <row r="12" ht="32" customHeight="1">
      <c r="A12" s="15" t="inlineStr">
        <is>
          <t>合成一位精锐 6 阶干员</t>
        </is>
      </c>
      <c r="B12" s="15" t="n">
        <v>50</v>
      </c>
      <c r="C12" s="15" t="inlineStr">
        <is>
          <t>每次合成计分；须提供游戏内截图。</t>
        </is>
      </c>
      <c r="D12" s="15" t="inlineStr">
        <is>
          <t>已确认</t>
        </is>
      </c>
    </row>
    <row r="13" ht="32" customHeight="1">
      <c r="A13" s="16" t="inlineStr">
        <is>
          <t>任意单个盟约达到层数 325</t>
        </is>
      </c>
      <c r="B13" s="16" t="n">
        <v>100</v>
      </c>
      <c r="C13" s="16" t="inlineStr">
        <is>
          <t>每个盟约的 325 层里程碑每轮最多计 1 次。</t>
        </is>
      </c>
      <c r="D13" s="16" t="inlineStr">
        <is>
          <t>已确认</t>
        </is>
      </c>
    </row>
    <row r="14" ht="32" customHeight="1">
      <c r="A14" s="15" t="inlineStr">
        <is>
          <t>任意单个盟约达到层数 799</t>
        </is>
      </c>
      <c r="B14" s="15" t="n">
        <v>200</v>
      </c>
      <c r="C14" s="15" t="inlineStr">
        <is>
          <t>每个盟约的 799 层里程碑每轮最多计 1 次；达到 799 层时，325 与 799 两项可同时计分，共 300 分。</t>
        </is>
      </c>
      <c r="D14" s="15" t="inlineStr">
        <is>
          <t>已确认</t>
        </is>
      </c>
    </row>
    <row r="15" ht="32" customHeight="1">
      <c r="A15" s="16" t="inlineStr">
        <is>
          <t>四名队员同一游戏回合均未损失生命值</t>
        </is>
      </c>
      <c r="B15" s="16" t="n">
        <v>50</v>
      </c>
      <c r="C15" s="16" t="inlineStr">
        <is>
          <t>按游戏内回合逐回合判断；第 14 回合 Boss 与第 15 回合隐藏 Boss 回合也适用；每队每轮最多 750 分（15 回合×50）。</t>
        </is>
      </c>
      <c r="D15" s="16" t="inlineStr">
        <is>
          <t>已确认</t>
        </is>
      </c>
    </row>
    <row r="16" ht="30" customHeight="1">
      <c r="A16" s="15" t="inlineStr">
        <is>
          <t>单轮积分上限</t>
        </is>
      </c>
      <c r="B16" s="15" t="n">
        <v>5000</v>
      </c>
      <c r="C16" s="15" t="inlineStr">
        <is>
          <t>每队每轮最高计入 5000 分；超出部分不计入排行榜。此上限替代“每日 5000 分”口径。</t>
        </is>
      </c>
      <c r="D16" s="15" t="inlineStr">
        <is>
          <t>已确认</t>
        </is>
      </c>
    </row>
    <row r="17" ht="30" customHeight="1">
      <c r="A17" s="15" t="inlineStr">
        <is>
          <t>最终积分计算</t>
        </is>
      </c>
      <c r="C17" s="15" t="inlineStr">
        <is>
          <t>每队两轮取较高分，不相加；最终分数对应轮次用于平分比较。若两轮得分相同，使用第 1 轮数据比较。</t>
        </is>
      </c>
      <c r="D17" s="15" t="inlineStr">
        <is>
          <t>已确认</t>
        </is>
      </c>
    </row>
    <row r="18" ht="30" customHeight="1">
      <c r="A18" s="15" t="inlineStr">
        <is>
          <t>同分排序规则</t>
        </is>
      </c>
      <c r="C18" s="15" t="inlineStr">
        <is>
          <t>依次比较：成功通关次数 → 隐藏 Boss 击杀数 → 5 金悬赏击杀数 → 4 金悬赏击杀数 → 3 金悬赏击杀数；仍相同则并列排名。</t>
        </is>
      </c>
      <c r="D18" s="15" t="inlineStr">
        <is>
          <t>已确认</t>
        </is>
      </c>
    </row>
  </sheetData>
  <autoFilter ref="A3:D15"/>
  <mergeCells count="2">
    <mergeCell ref="A1:D1"/>
    <mergeCell ref="A2:D2"/>
  </mergeCells>
  <conditionalFormatting sqref="D4:D15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D4:D15" showDropDown="0" showInputMessage="0" showErrorMessage="0" allowBlank="1" type="list">
      <formula1>"待确认,已确认,需修改,不适用"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D18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82" customWidth="1" min="2" max="2"/>
    <col width="14" customWidth="1" min="3" max="3"/>
    <col width="28" customWidth="1" min="4" max="4"/>
  </cols>
  <sheetData>
    <row r="1" ht="28" customHeight="1">
      <c r="A1" s="12" t="inlineStr">
        <is>
          <t>战绩审核清单｜每队每轮使用</t>
        </is>
      </c>
    </row>
    <row r="2" ht="32" customHeight="1">
      <c r="A2" s="13" t="inlineStr">
        <is>
          <t>每轮结束后 12 小时内提交；截图为主要证据，组织方对存疑项目可要求补充录像。仅审核通过的积分计入排行榜。</t>
        </is>
      </c>
    </row>
    <row r="3" ht="32" customHeight="1">
      <c r="A3" s="14" t="inlineStr">
        <is>
          <t>检查项</t>
        </is>
      </c>
      <c r="B3" s="14" t="inlineStr">
        <is>
          <t>检查标准</t>
        </is>
      </c>
      <c r="C3" s="14" t="inlineStr">
        <is>
          <t>结果</t>
        </is>
      </c>
      <c r="D3" s="14" t="inlineStr">
        <is>
          <t>备注/补充说明</t>
        </is>
      </c>
    </row>
    <row r="4" ht="32" customHeight="1">
      <c r="A4" s="15" t="inlineStr">
        <is>
          <t>提交时限</t>
        </is>
      </c>
      <c r="B4" s="15" t="inlineStr">
        <is>
          <t>该轮结束后 12 小时内提交战绩材料。</t>
        </is>
      </c>
      <c r="C4" s="15" t="inlineStr">
        <is>
          <t>待审核</t>
        </is>
      </c>
      <c r="D4" s="15" t="inlineStr"/>
    </row>
    <row r="5" ht="32" customHeight="1">
      <c r="A5" s="16" t="inlineStr">
        <is>
          <t>队伍与轮次</t>
        </is>
      </c>
      <c r="B5" s="16" t="inlineStr">
        <is>
          <t>证据须能确认参赛队伍及对应活动轮次。</t>
        </is>
      </c>
      <c r="C5" s="16" t="inlineStr">
        <is>
          <t>待审核</t>
        </is>
      </c>
      <c r="D5" s="16" t="inlineStr"/>
    </row>
    <row r="6" ht="32" customHeight="1">
      <c r="A6" s="15" t="inlineStr">
        <is>
          <t>截图清晰度</t>
        </is>
      </c>
      <c r="B6" s="15" t="inlineStr">
        <is>
          <t>截图清晰显示相关游戏回合 / 目标及有效战斗结果。</t>
        </is>
      </c>
      <c r="C6" s="15" t="inlineStr">
        <is>
          <t>待审核</t>
        </is>
      </c>
      <c r="D6" s="15" t="inlineStr"/>
    </row>
    <row r="7" ht="32" customHeight="1">
      <c r="A7" s="16" t="inlineStr">
        <is>
          <t>通关核验</t>
        </is>
      </c>
      <c r="B7" s="16" t="inlineStr">
        <is>
          <t>核对成功通关结果；每队每轮最多计 1 次。</t>
        </is>
      </c>
      <c r="C7" s="16" t="inlineStr">
        <is>
          <t>待审核</t>
        </is>
      </c>
      <c r="D7" s="16" t="inlineStr"/>
    </row>
    <row r="8" ht="32" customHeight="1">
      <c r="A8" s="15" t="inlineStr">
        <is>
          <t>隐藏 Boss 核验</t>
        </is>
      </c>
      <c r="B8" s="15" t="inlineStr">
        <is>
          <t>按游戏内定义核验击杀结果；每队每轮最多计 1 次。</t>
        </is>
      </c>
      <c r="C8" s="15" t="inlineStr">
        <is>
          <t>待审核</t>
        </is>
      </c>
      <c r="D8" s="15" t="inlineStr"/>
    </row>
    <row r="9" ht="32" customHeight="1">
      <c r="A9" s="16" t="inlineStr">
        <is>
          <t>悬赏目标核验</t>
        </is>
      </c>
      <c r="B9" s="16" t="inlineStr">
        <is>
          <t>核验 3/4/5 金目标星级与击杀次数。</t>
        </is>
      </c>
      <c r="C9" s="16" t="inlineStr">
        <is>
          <t>待审核</t>
        </is>
      </c>
      <c r="D9" s="16" t="inlineStr"/>
    </row>
    <row r="10" ht="32" customHeight="1">
      <c r="A10" s="15" t="inlineStr">
        <is>
          <t>特殊目标核验</t>
        </is>
      </c>
      <c r="B10" s="15" t="inlineStr">
        <is>
          <t>分别核验「铳」「锏」「灼藤」的击杀次数。</t>
        </is>
      </c>
      <c r="C10" s="15" t="inlineStr">
        <is>
          <t>待审核</t>
        </is>
      </c>
      <c r="D10" s="15" t="inlineStr"/>
    </row>
    <row r="11" ht="32" customHeight="1">
      <c r="A11" s="16" t="inlineStr">
        <is>
          <t>精英 6 合成核验</t>
        </is>
      </c>
      <c r="B11" s="16" t="inlineStr">
        <is>
          <t>每次合成须有游戏内截图佐证。</t>
        </is>
      </c>
      <c r="C11" s="16" t="inlineStr">
        <is>
          <t>待审核</t>
        </is>
      </c>
      <c r="D11" s="16" t="inlineStr"/>
    </row>
    <row r="12" ht="32" customHeight="1">
      <c r="A12" s="15" t="inlineStr">
        <is>
          <t>盟约层数核验</t>
        </is>
      </c>
      <c r="B12" s="15" t="inlineStr">
        <is>
          <t>分别核验单个盟约达到 325 / 799 层；799 可同时计 325 与 799 奖励。</t>
        </is>
      </c>
      <c r="C12" s="15" t="inlineStr">
        <is>
          <t>待审核</t>
        </is>
      </c>
      <c r="D12" s="15" t="inlineStr"/>
    </row>
    <row r="13" ht="32" customHeight="1">
      <c r="A13" s="16" t="inlineStr">
        <is>
          <t>无损回合核验</t>
        </is>
      </c>
      <c r="B13" s="16" t="inlineStr">
        <is>
          <t>同一游戏回合四名队员均未损失生命值计 50 分；第 14、15 回合适用；单轮最高 750 分。</t>
        </is>
      </c>
      <c r="C13" s="16" t="inlineStr">
        <is>
          <t>待审核</t>
        </is>
      </c>
      <c r="D13" s="16" t="inlineStr"/>
    </row>
    <row r="14" ht="30" customHeight="1">
      <c r="A14" s="15" t="inlineStr">
        <is>
          <t>重复证据核验</t>
        </is>
      </c>
      <c r="B14" s="15" t="inlineStr">
        <is>
          <t>同一份证据可证明不同积分项，但同一积分项不得重复申报。</t>
        </is>
      </c>
      <c r="C14" s="15" t="inlineStr">
        <is>
          <t>待审核</t>
        </is>
      </c>
      <c r="D14" s="15" t="inlineStr"/>
    </row>
    <row r="15" ht="30" customHeight="1">
      <c r="A15" s="15" t="inlineStr">
        <is>
          <t>积分与上限复核</t>
        </is>
      </c>
      <c r="B15" s="15" t="inlineStr">
        <is>
          <t>逐项复算；单队单轮最高计入 5000 分，超出部分剔除。</t>
        </is>
      </c>
      <c r="C15" s="15" t="inlineStr">
        <is>
          <t>待审核</t>
        </is>
      </c>
      <c r="D15" s="15" t="inlineStr"/>
    </row>
    <row r="16" ht="30" customHeight="1">
      <c r="A16" s="15" t="inlineStr">
        <is>
          <t>录像补充</t>
        </is>
      </c>
      <c r="B16" s="15" t="inlineStr">
        <is>
          <t>截图为主要证据；若截图不足以判定，组织方可要求提供录像。</t>
        </is>
      </c>
      <c r="C16" s="15" t="inlineStr">
        <is>
          <t>待审核</t>
        </is>
      </c>
      <c r="D16" s="15" t="inlineStr"/>
    </row>
    <row r="17" ht="30" customHeight="1">
      <c r="A17" s="15" t="inlineStr">
        <is>
          <t>审核结论与记录</t>
        </is>
      </c>
      <c r="B17" s="15" t="inlineStr">
        <is>
          <t>记录审核人、审核时间及通过 / 补充 / 驳回 / 争议状态。</t>
        </is>
      </c>
      <c r="C17" s="15" t="inlineStr">
        <is>
          <t>待填写</t>
        </is>
      </c>
      <c r="D17" s="15" t="inlineStr"/>
    </row>
    <row r="18" ht="30" customHeight="1">
      <c r="A18" s="15" t="inlineStr">
        <is>
          <t>申诉期限</t>
        </is>
      </c>
      <c r="B18" s="15" t="inlineStr">
        <is>
          <t>结果公布后 24 小时内受理申诉；申诉期结束后发布最终排行榜。</t>
        </is>
      </c>
      <c r="C18" s="15" t="inlineStr">
        <is>
          <t>待跟进</t>
        </is>
      </c>
      <c r="D18" s="15" t="inlineStr"/>
    </row>
  </sheetData>
  <autoFilter ref="A3:D13"/>
  <mergeCells count="2">
    <mergeCell ref="A1:D1"/>
    <mergeCell ref="A2:D2"/>
  </mergeCells>
  <conditionalFormatting sqref="C4:C13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C4:C13" showDropDown="0" showInputMessage="0" showErrorMessage="0" allowBlank="1" type="list">
      <formula1>"待审核,通过,需补充,驳回,争议处理中,待填写"</formula1>
    </dataValidation>
  </dataValidation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N9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15" customWidth="1" min="4" max="4"/>
    <col width="19" customWidth="1" min="5" max="5"/>
    <col width="14" customWidth="1" min="6" max="6"/>
    <col width="28" customWidth="1" min="7" max="7"/>
    <col width="28" customWidth="1" min="8" max="8"/>
    <col width="14" customWidth="1" min="9" max="9"/>
    <col width="16" customWidth="1" min="10" max="10"/>
    <col width="13" customWidth="1" min="11" max="11"/>
    <col width="13" customWidth="1" min="12" max="12"/>
    <col width="13" customWidth="1" min="13" max="13"/>
    <col width="12" customWidth="1" min="14" max="14"/>
  </cols>
  <sheetData>
    <row r="1" ht="28" customHeight="1">
      <c r="A1" s="12" t="inlineStr">
        <is>
          <t>积分排行榜｜审核数据登记</t>
        </is>
      </c>
    </row>
    <row r="2" ht="32" customHeight="1">
      <c r="A2" s="13" t="inlineStr">
        <is>
          <t>只录入审核通过的单轮积分。最终积分为两轮较高分，不相加；平分比较使用最终积分对应轮次数据，两轮同分则使用第 1 轮数据。</t>
        </is>
      </c>
    </row>
    <row r="3" ht="32" customHeight="1">
      <c r="A3" s="14" t="inlineStr">
        <is>
          <t>暂定序号</t>
        </is>
      </c>
      <c r="B3" s="14" t="inlineStr">
        <is>
          <t>队伍</t>
        </is>
      </c>
      <c r="C3" s="14" t="inlineStr">
        <is>
          <t>第一轮审核分</t>
        </is>
      </c>
      <c r="D3" s="14" t="inlineStr">
        <is>
          <t>第二轮审核分</t>
        </is>
      </c>
      <c r="E3" s="14" t="inlineStr">
        <is>
          <t>最终审核积分（取高）</t>
        </is>
      </c>
      <c r="F3" s="14" t="inlineStr">
        <is>
          <t>审核状态</t>
        </is>
      </c>
      <c r="G3" s="14" t="inlineStr">
        <is>
          <t>备注</t>
        </is>
      </c>
      <c r="H3" s="14" t="inlineStr">
        <is>
          <t>最终分对应轮次</t>
        </is>
      </c>
      <c r="I3" s="14" t="inlineStr">
        <is>
          <t>成功通关次数</t>
        </is>
      </c>
      <c r="J3" s="14" t="inlineStr">
        <is>
          <t>隐藏 Boss 击杀数</t>
        </is>
      </c>
      <c r="K3" s="14" t="inlineStr">
        <is>
          <t>5 金击杀数</t>
        </is>
      </c>
      <c r="L3" s="14" t="inlineStr">
        <is>
          <t>4 金击杀数</t>
        </is>
      </c>
      <c r="M3" s="14" t="inlineStr">
        <is>
          <t>3 金击杀数</t>
        </is>
      </c>
      <c r="N3" s="14" t="inlineStr">
        <is>
          <t>最终名次</t>
        </is>
      </c>
    </row>
    <row r="4" ht="32" customHeight="1">
      <c r="A4" s="15" t="n">
        <v>1</v>
      </c>
      <c r="B4" s="15" t="inlineStr">
        <is>
          <t>第 1 队</t>
        </is>
      </c>
      <c r="C4" s="10" t="n"/>
      <c r="D4" s="10" t="n"/>
      <c r="E4" s="21">
        <f>IF(COUNTA(C4:D4)=0,"",MAX(C4:D4))</f>
        <v/>
      </c>
      <c r="F4" s="15" t="inlineStr">
        <is>
          <t>待审核</t>
        </is>
      </c>
      <c r="G4" s="4" t="inlineStr"/>
      <c r="H4" s="15">
        <f>IF(COUNTA(C4:D4)=0,"",IF(C4=D4,"第 1 轮（同分按第 1 轮数据）",IF(C4&gt;D4,"第 1 轮","第 2 轮")))</f>
        <v/>
      </c>
    </row>
    <row r="5" ht="32" customHeight="1">
      <c r="A5" s="16" t="n">
        <v>2</v>
      </c>
      <c r="B5" s="16" t="inlineStr">
        <is>
          <t>第 2 队</t>
        </is>
      </c>
      <c r="C5" s="11" t="n"/>
      <c r="D5" s="11" t="n"/>
      <c r="E5" s="22">
        <f>IF(COUNTA(C5:D5)=0,"",MAX(C5:D5))</f>
        <v/>
      </c>
      <c r="F5" s="16" t="inlineStr">
        <is>
          <t>待审核</t>
        </is>
      </c>
      <c r="G5" s="5" t="inlineStr"/>
      <c r="H5" s="15">
        <f>IF(COUNTA(C5:D5)=0,"",IF(C5=D5,"第 1 轮（同分按第 1 轮数据）",IF(C5&gt;D5,"第 1 轮","第 2 轮")))</f>
        <v/>
      </c>
    </row>
    <row r="6" ht="32" customHeight="1">
      <c r="A6" s="15" t="n">
        <v>3</v>
      </c>
      <c r="B6" s="15" t="inlineStr">
        <is>
          <t>第 3 队</t>
        </is>
      </c>
      <c r="C6" s="10" t="n"/>
      <c r="D6" s="10" t="n"/>
      <c r="E6" s="21">
        <f>IF(COUNTA(C6:D6)=0,"",MAX(C6:D6))</f>
        <v/>
      </c>
      <c r="F6" s="15" t="inlineStr">
        <is>
          <t>待审核</t>
        </is>
      </c>
      <c r="G6" s="4" t="inlineStr"/>
      <c r="H6" s="15">
        <f>IF(COUNTA(C6:D6)=0,"",IF(C6=D6,"第 1 轮（同分按第 1 轮数据）",IF(C6&gt;D6,"第 1 轮","第 2 轮")))</f>
        <v/>
      </c>
    </row>
    <row r="7" ht="32" customHeight="1">
      <c r="A7" s="16" t="n">
        <v>4</v>
      </c>
      <c r="B7" s="16" t="inlineStr">
        <is>
          <t>第 4 队</t>
        </is>
      </c>
      <c r="C7" s="11" t="n"/>
      <c r="D7" s="11" t="n"/>
      <c r="E7" s="22">
        <f>IF(COUNTA(C7:D7)=0,"",MAX(C7:D7))</f>
        <v/>
      </c>
      <c r="F7" s="16" t="inlineStr">
        <is>
          <t>待审核</t>
        </is>
      </c>
      <c r="G7" s="5" t="inlineStr"/>
      <c r="H7" s="15">
        <f>IF(COUNTA(C7:D7)=0,"",IF(C7=D7,"第 1 轮（同分按第 1 轮数据）",IF(C7&gt;D7,"第 1 轮","第 2 轮")))</f>
        <v/>
      </c>
    </row>
    <row r="8" ht="32" customHeight="1">
      <c r="A8" s="15" t="n">
        <v>5</v>
      </c>
      <c r="B8" s="15" t="inlineStr">
        <is>
          <t>第 5 队</t>
        </is>
      </c>
      <c r="C8" s="10" t="n"/>
      <c r="D8" s="10" t="n"/>
      <c r="E8" s="21">
        <f>IF(COUNTA(C8:D8)=0,"",MAX(C8:D8))</f>
        <v/>
      </c>
      <c r="F8" s="15" t="inlineStr">
        <is>
          <t>待审核</t>
        </is>
      </c>
      <c r="G8" s="4" t="inlineStr"/>
      <c r="H8" s="15">
        <f>IF(COUNTA(C8:D8)=0,"",IF(C8=D8,"第 1 轮（同分按第 1 轮数据）",IF(C8&gt;D8,"第 1 轮","第 2 轮")))</f>
        <v/>
      </c>
    </row>
    <row r="9" ht="32" customHeight="1">
      <c r="A9" s="16" t="n">
        <v>6</v>
      </c>
      <c r="B9" s="16" t="inlineStr">
        <is>
          <t>第 6 队</t>
        </is>
      </c>
      <c r="C9" s="11" t="n"/>
      <c r="D9" s="11" t="n"/>
      <c r="E9" s="22">
        <f>IF(COUNTA(C9:D9)=0,"",MAX(C9:D9))</f>
        <v/>
      </c>
      <c r="F9" s="16" t="inlineStr">
        <is>
          <t>待审核</t>
        </is>
      </c>
      <c r="G9" s="5" t="inlineStr"/>
      <c r="H9" s="15">
        <f>IF(COUNTA(C9:D9)=0,"",IF(C9=D9,"第 1 轮（同分按第 1 轮数据）",IF(C9&gt;D9,"第 1 轮","第 2 轮")))</f>
        <v/>
      </c>
    </row>
  </sheetData>
  <autoFilter ref="A3:G9"/>
  <mergeCells count="2">
    <mergeCell ref="A2:G2"/>
    <mergeCell ref="A1:G1"/>
  </mergeCells>
  <dataValidations count="1">
    <dataValidation sqref="F4:F9" showDropDown="0" showInputMessage="0" showErrorMessage="0" allowBlank="1" type="list">
      <formula1>"待审核,部分通过,已审核,争议处理中"</formula1>
    </dataValidation>
  </dataValidation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E9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2" customWidth="1" min="3" max="3"/>
    <col width="54" customWidth="1" min="4" max="4"/>
    <col width="14" customWidth="1" min="5" max="5"/>
  </cols>
  <sheetData>
    <row r="1" ht="28" customHeight="1">
      <c r="A1" s="12" t="inlineStr">
        <is>
          <t>应急联系人表</t>
        </is>
      </c>
    </row>
    <row r="2" ht="32" customHeight="1">
      <c r="A2" s="13" t="inlineStr">
        <is>
          <t>请使用群内昵称或必要联系渠道，避免收集不必要的个人信息。</t>
        </is>
      </c>
    </row>
    <row r="3" ht="32" customHeight="1">
      <c r="A3" s="14" t="inlineStr">
        <is>
          <t>事项</t>
        </is>
      </c>
      <c r="B3" s="14" t="inlineStr">
        <is>
          <t>负责人/联系人</t>
        </is>
      </c>
      <c r="C3" s="14" t="inlineStr">
        <is>
          <t>联系方式或群内识别方式</t>
        </is>
      </c>
      <c r="D3" s="14" t="inlineStr">
        <is>
          <t>处理职责/方案</t>
        </is>
      </c>
      <c r="E3" s="14" t="inlineStr">
        <is>
          <t>状态</t>
        </is>
      </c>
    </row>
    <row r="4" ht="32" customHeight="1">
      <c r="A4" s="15" t="inlineStr">
        <is>
          <t>活动总协调</t>
        </is>
      </c>
      <c r="B4" s="4" t="inlineStr"/>
      <c r="C4" s="4" t="inlineStr"/>
      <c r="D4" s="15" t="inlineStr">
        <is>
          <t>统一决策、对外公告和协调资源</t>
        </is>
      </c>
      <c r="E4" s="15" t="inlineStr">
        <is>
          <t>待确认</t>
        </is>
      </c>
    </row>
    <row r="5" ht="32" customHeight="1">
      <c r="A5" s="16" t="inlineStr">
        <is>
          <t>报名与分组</t>
        </is>
      </c>
      <c r="B5" s="5" t="inlineStr"/>
      <c r="C5" s="5" t="inlineStr"/>
      <c r="D5" s="16" t="inlineStr">
        <is>
          <t>核对报名、候补与队伍信息</t>
        </is>
      </c>
      <c r="E5" s="16" t="inlineStr">
        <is>
          <t>待确认</t>
        </is>
      </c>
    </row>
    <row r="6" ht="32" customHeight="1">
      <c r="A6" s="15" t="inlineStr">
        <is>
          <t>战绩审核</t>
        </is>
      </c>
      <c r="B6" s="4" t="inlineStr"/>
      <c r="C6" s="4" t="inlineStr"/>
      <c r="D6" s="15" t="inlineStr">
        <is>
          <t>组织材料复核、记录争议</t>
        </is>
      </c>
      <c r="E6" s="15" t="inlineStr">
        <is>
          <t>待确认</t>
        </is>
      </c>
    </row>
    <row r="7" ht="32" customHeight="1">
      <c r="A7" s="16" t="inlineStr">
        <is>
          <t>积分统计</t>
        </is>
      </c>
      <c r="B7" s="5" t="inlineStr"/>
      <c r="C7" s="5" t="inlineStr"/>
      <c r="D7" s="16" t="inlineStr">
        <is>
          <t>汇总审核积分、复核排名</t>
        </is>
      </c>
      <c r="E7" s="16" t="inlineStr">
        <is>
          <t>待确认</t>
        </is>
      </c>
    </row>
    <row r="8" ht="32" customHeight="1">
      <c r="A8" s="15" t="inlineStr">
        <is>
          <t>奖品发放</t>
        </is>
      </c>
      <c r="B8" s="4" t="inlineStr"/>
      <c r="C8" s="4" t="inlineStr"/>
      <c r="D8" s="15" t="inlineStr">
        <is>
          <t>核对获奖名单与发放记录</t>
        </is>
      </c>
      <c r="E8" s="15" t="inlineStr">
        <is>
          <t>待确认</t>
        </is>
      </c>
    </row>
    <row r="9" ht="32" customHeight="1">
      <c r="A9" s="16" t="inlineStr">
        <is>
          <t>技术/网络问题</t>
        </is>
      </c>
      <c r="B9" s="5" t="inlineStr"/>
      <c r="C9" s="5" t="inlineStr"/>
      <c r="D9" s="16" t="inlineStr">
        <is>
          <t>协调延期、补赛或其他处理方案</t>
        </is>
      </c>
      <c r="E9" s="16" t="inlineStr">
        <is>
          <t>待确认</t>
        </is>
      </c>
    </row>
  </sheetData>
  <autoFilter ref="A3:E9"/>
  <mergeCells count="2">
    <mergeCell ref="A2:E2"/>
    <mergeCell ref="A1:E1"/>
  </mergeCells>
  <conditionalFormatting sqref="E4:E9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E4:E9" showDropDown="0" showInputMessage="0" showErrorMessage="0" allowBlank="1" type="list">
      <formula1>"待确认,已确认,不适用"</formula1>
    </dataValidation>
  </dataValidations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E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18" customWidth="1" min="3" max="3"/>
    <col width="16" customWidth="1" min="4" max="4"/>
    <col width="30" customWidth="1" min="5" max="5"/>
  </cols>
  <sheetData>
    <row r="1" ht="28" customHeight="1">
      <c r="A1" s="12" t="inlineStr">
        <is>
          <t>活动配置自查表（模拟运营后台）</t>
        </is>
      </c>
    </row>
    <row r="2" ht="32" customHeight="1">
      <c r="A2" s="13" t="inlineStr">
        <is>
          <t>此表为策划阶段自查模板，不代表真实后台配置或活动已执行。</t>
        </is>
      </c>
    </row>
    <row r="3" ht="32" customHeight="1">
      <c r="A3" s="14" t="inlineStr">
        <is>
          <t>检查模块</t>
        </is>
      </c>
      <c r="B3" s="14" t="inlineStr">
        <is>
          <t>自查内容</t>
        </is>
      </c>
      <c r="C3" s="14" t="inlineStr">
        <is>
          <t>预期状态</t>
        </is>
      </c>
      <c r="D3" s="14" t="inlineStr">
        <is>
          <t>检查结果</t>
        </is>
      </c>
      <c r="E3" s="14" t="inlineStr">
        <is>
          <t>备注</t>
        </is>
      </c>
    </row>
    <row r="4" ht="32" customHeight="1">
      <c r="A4" s="15" t="inlineStr">
        <is>
          <t>活动基础信息</t>
        </is>
      </c>
      <c r="B4" s="15" t="inlineStr">
        <is>
          <t>名称、时间、规则版本已确认</t>
        </is>
      </c>
      <c r="C4" s="15" t="inlineStr">
        <is>
          <t>信息完整</t>
        </is>
      </c>
      <c r="D4" s="15" t="inlineStr">
        <is>
          <t>待检查</t>
        </is>
      </c>
      <c r="E4" s="4" t="inlineStr"/>
    </row>
    <row r="5" ht="32" customHeight="1">
      <c r="A5" s="16" t="inlineStr">
        <is>
          <t>报名配置</t>
        </is>
      </c>
      <c r="B5" s="16" t="inlineStr">
        <is>
          <t>报名入口、截止时间、人数上限明确</t>
        </is>
      </c>
      <c r="C5" s="16" t="inlineStr">
        <is>
          <t>可报名</t>
        </is>
      </c>
      <c r="D5" s="16" t="inlineStr">
        <is>
          <t>待检查</t>
        </is>
      </c>
      <c r="E5" s="5" t="inlineStr"/>
    </row>
    <row r="6" ht="32" customHeight="1">
      <c r="A6" s="15" t="inlineStr">
        <is>
          <t>分组配置</t>
        </is>
      </c>
      <c r="B6" s="15" t="inlineStr">
        <is>
          <t>6 队、每队 4 人，队长已指定</t>
        </is>
      </c>
      <c r="C6" s="15" t="inlineStr">
        <is>
          <t>分组完整</t>
        </is>
      </c>
      <c r="D6" s="15" t="inlineStr">
        <is>
          <t>待检查</t>
        </is>
      </c>
      <c r="E6" s="4" t="inlineStr"/>
    </row>
    <row r="7" ht="32" customHeight="1">
      <c r="A7" s="16" t="inlineStr">
        <is>
          <t>积分配置</t>
        </is>
      </c>
      <c r="B7" s="16" t="inlineStr">
        <is>
          <t>积分项、次数限制、上限口径明确</t>
        </is>
      </c>
      <c r="C7" s="16" t="inlineStr">
        <is>
          <t>规则一致</t>
        </is>
      </c>
      <c r="D7" s="16" t="inlineStr">
        <is>
          <t>待检查</t>
        </is>
      </c>
      <c r="E7" s="5" t="inlineStr"/>
    </row>
    <row r="8" ht="32" customHeight="1">
      <c r="A8" s="15" t="inlineStr">
        <is>
          <t>审核配置</t>
        </is>
      </c>
      <c r="B8" s="15" t="inlineStr">
        <is>
          <t>材料清单、审核人、申诉流程明确</t>
        </is>
      </c>
      <c r="C8" s="15" t="inlineStr">
        <is>
          <t>可追溯</t>
        </is>
      </c>
      <c r="D8" s="15" t="inlineStr">
        <is>
          <t>待检查</t>
        </is>
      </c>
      <c r="E8" s="4" t="inlineStr"/>
    </row>
    <row r="9" ht="32" customHeight="1">
      <c r="A9" s="16" t="inlineStr">
        <is>
          <t>奖品配置</t>
        </is>
      </c>
      <c r="B9" s="16" t="inlineStr">
        <is>
          <t>奖项、数量、预算与公告一致</t>
        </is>
      </c>
      <c r="C9" s="16" t="inlineStr">
        <is>
          <t>方案一致</t>
        </is>
      </c>
      <c r="D9" s="16" t="inlineStr">
        <is>
          <t>待检查</t>
        </is>
      </c>
      <c r="E9" s="5" t="inlineStr"/>
    </row>
    <row r="10" ht="32" customHeight="1">
      <c r="A10" s="15" t="inlineStr">
        <is>
          <t>公告配置</t>
        </is>
      </c>
      <c r="B10" s="15" t="inlineStr">
        <is>
          <t>招募、提醒、规则、结果模板准备完成</t>
        </is>
      </c>
      <c r="C10" s="15" t="inlineStr">
        <is>
          <t>可发布</t>
        </is>
      </c>
      <c r="D10" s="15" t="inlineStr">
        <is>
          <t>待检查</t>
        </is>
      </c>
      <c r="E10" s="4" t="inlineStr"/>
    </row>
    <row r="11" ht="32" customHeight="1">
      <c r="A11" s="16" t="inlineStr">
        <is>
          <t>风险预案</t>
        </is>
      </c>
      <c r="B11" s="16" t="inlineStr">
        <is>
          <t>联系人及异常处理方案明确</t>
        </is>
      </c>
      <c r="C11" s="16" t="inlineStr">
        <is>
          <t>可响应</t>
        </is>
      </c>
      <c r="D11" s="16" t="inlineStr">
        <is>
          <t>待检查</t>
        </is>
      </c>
      <c r="E11" s="5" t="inlineStr"/>
    </row>
    <row r="12" ht="32" customHeight="1">
      <c r="A12" s="15" t="inlineStr">
        <is>
          <t>数据记录</t>
        </is>
      </c>
      <c r="B12" s="15" t="inlineStr">
        <is>
          <t>报名、完赛、审核、互动指标有记录方式</t>
        </is>
      </c>
      <c r="C12" s="15" t="inlineStr">
        <is>
          <t>可复盘</t>
        </is>
      </c>
      <c r="D12" s="15" t="inlineStr">
        <is>
          <t>待检查</t>
        </is>
      </c>
      <c r="E12" s="4" t="inlineStr"/>
    </row>
  </sheetData>
  <autoFilter ref="A3:E12"/>
  <mergeCells count="2">
    <mergeCell ref="A2:E2"/>
    <mergeCell ref="A1:E1"/>
  </mergeCells>
  <conditionalFormatting sqref="D4:D12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D4:D12" showDropDown="0" showInputMessage="0" showErrorMessage="0" allowBlank="1" type="list">
      <formula1>"待检查,通过,不通过,待补充,不适用"</formula1>
    </dataValidation>
  </dataValidations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E13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8" customWidth="1" min="3" max="3"/>
    <col width="24" customWidth="1" min="4" max="4"/>
    <col width="38" customWidth="1" min="5" max="5"/>
  </cols>
  <sheetData>
    <row r="1" ht="28" customHeight="1">
      <c r="A1" s="12" t="inlineStr">
        <is>
          <t>数据预估与复盘表</t>
        </is>
      </c>
    </row>
    <row r="2" ht="32" customHeight="1">
      <c r="A2" s="13" t="inlineStr">
        <is>
          <t>目标值是策划预估，不是实际成绩；活动结束后再填写实际值和差异原因。</t>
        </is>
      </c>
    </row>
    <row r="3" ht="32" customHeight="1">
      <c r="A3" s="14" t="inlineStr">
        <is>
          <t>指标</t>
        </is>
      </c>
      <c r="B3" s="14" t="inlineStr">
        <is>
          <t>目标/预估（策划阶段）</t>
        </is>
      </c>
      <c r="C3" s="14" t="inlineStr">
        <is>
          <t>计算或记录口径</t>
        </is>
      </c>
      <c r="D3" s="14" t="inlineStr">
        <is>
          <t>实际值（活动后填写）</t>
        </is>
      </c>
      <c r="E3" s="14" t="inlineStr">
        <is>
          <t>差异与原因/复盘</t>
        </is>
      </c>
    </row>
    <row r="4" ht="32" customHeight="1">
      <c r="A4" s="15" t="inlineStr">
        <is>
          <t>群总人数</t>
        </is>
      </c>
      <c r="B4" s="15" t="inlineStr">
        <is>
          <t>200 人</t>
        </is>
      </c>
      <c r="C4" s="15" t="inlineStr">
        <is>
          <t>活动启动时群人数</t>
        </is>
      </c>
      <c r="D4" s="15" t="inlineStr">
        <is>
          <t>待填写</t>
        </is>
      </c>
      <c r="E4" s="15" t="inlineStr">
        <is>
          <t>待复盘</t>
        </is>
      </c>
    </row>
    <row r="5" ht="32" customHeight="1">
      <c r="A5" s="16" t="inlineStr">
        <is>
          <t>正式参赛人数</t>
        </is>
      </c>
      <c r="B5" s="16" t="inlineStr">
        <is>
          <t>24 人</t>
        </is>
      </c>
      <c r="C5" s="16" t="inlineStr">
        <is>
          <t>完成报名并确认参赛人数</t>
        </is>
      </c>
      <c r="D5" s="16" t="inlineStr">
        <is>
          <t>待填写</t>
        </is>
      </c>
      <c r="E5" s="16" t="inlineStr">
        <is>
          <t>待复盘</t>
        </is>
      </c>
    </row>
    <row r="6" ht="32" customHeight="1">
      <c r="A6" s="15" t="inlineStr">
        <is>
          <t>预计参赛比例</t>
        </is>
      </c>
      <c r="B6" s="15" t="inlineStr">
        <is>
          <t>12%</t>
        </is>
      </c>
      <c r="C6" s="15" t="inlineStr">
        <is>
          <t>24 ÷ 200</t>
        </is>
      </c>
      <c r="D6" s="15" t="inlineStr">
        <is>
          <t>待填写</t>
        </is>
      </c>
      <c r="E6" s="15" t="inlineStr">
        <is>
          <t>待复盘</t>
        </is>
      </c>
    </row>
    <row r="7" ht="32" customHeight="1">
      <c r="A7" s="16" t="inlineStr">
        <is>
          <t>完赛率</t>
        </is>
      </c>
      <c r="B7" s="16" t="inlineStr">
        <is>
          <t>待设定</t>
        </is>
      </c>
      <c r="C7" s="16" t="inlineStr">
        <is>
          <t>完成规定挑战队伍数 ÷ 参赛队伍数</t>
        </is>
      </c>
      <c r="D7" s="16" t="inlineStr">
        <is>
          <t>待填写</t>
        </is>
      </c>
      <c r="E7" s="16" t="inlineStr">
        <is>
          <t>待复盘</t>
        </is>
      </c>
    </row>
    <row r="8" ht="32" customHeight="1">
      <c r="A8" s="15" t="inlineStr">
        <is>
          <t>材料按时提交率</t>
        </is>
      </c>
      <c r="B8" s="15" t="inlineStr">
        <is>
          <t>待设定</t>
        </is>
      </c>
      <c r="C8" s="15" t="inlineStr">
        <is>
          <t>按时提交队伍数 ÷ 应提交队伍数</t>
        </is>
      </c>
      <c r="D8" s="15" t="inlineStr">
        <is>
          <t>待填写</t>
        </is>
      </c>
      <c r="E8" s="15" t="inlineStr">
        <is>
          <t>待复盘</t>
        </is>
      </c>
    </row>
    <row r="9" ht="32" customHeight="1">
      <c r="A9" s="16" t="inlineStr">
        <is>
          <t>日均群消息变化</t>
        </is>
      </c>
      <c r="B9" s="16" t="inlineStr">
        <is>
          <t>较日常基线提升 20%</t>
        </is>
      </c>
      <c r="C9" s="16" t="inlineStr">
        <is>
          <t>活动期间日均消息量与基线比较；基线需实际采集</t>
        </is>
      </c>
      <c r="D9" s="16" t="inlineStr">
        <is>
          <t>待填写</t>
        </is>
      </c>
      <c r="E9" s="16" t="inlineStr">
        <is>
          <t>待复盘</t>
        </is>
      </c>
    </row>
    <row r="10" ht="32" customHeight="1">
      <c r="A10" s="15" t="inlineStr">
        <is>
          <t>精彩瞬间/战报内容</t>
        </is>
      </c>
      <c r="B10" s="15" t="inlineStr">
        <is>
          <t>12 条以上</t>
        </is>
      </c>
      <c r="C10" s="15" t="inlineStr">
        <is>
          <t>经确认可用于活动展示的内容数</t>
        </is>
      </c>
      <c r="D10" s="15" t="inlineStr">
        <is>
          <t>待填写</t>
        </is>
      </c>
      <c r="E10" s="15" t="inlineStr">
        <is>
          <t>待复盘</t>
        </is>
      </c>
    </row>
    <row r="11" ht="32" customHeight="1">
      <c r="A11" s="16" t="inlineStr">
        <is>
          <t>人气投票参与人数</t>
        </is>
      </c>
      <c r="B11" s="16" t="inlineStr">
        <is>
          <t>50 人以上</t>
        </is>
      </c>
      <c r="C11" s="16" t="inlineStr">
        <is>
          <t>完成有效投票的人数</t>
        </is>
      </c>
      <c r="D11" s="16" t="inlineStr">
        <is>
          <t>待填写</t>
        </is>
      </c>
      <c r="E11" s="16" t="inlineStr">
        <is>
          <t>待复盘</t>
        </is>
      </c>
    </row>
    <row r="12" ht="32" customHeight="1">
      <c r="A12" s="15" t="inlineStr">
        <is>
          <t>争议处理数量</t>
        </is>
      </c>
      <c r="B12" s="15" t="inlineStr">
        <is>
          <t>记录实际发生数</t>
        </is>
      </c>
      <c r="C12" s="15" t="inlineStr">
        <is>
          <t>争议登记表统计</t>
        </is>
      </c>
      <c r="D12" s="15" t="inlineStr">
        <is>
          <t>待填写</t>
        </is>
      </c>
      <c r="E12" s="15" t="inlineStr">
        <is>
          <t>待复盘</t>
        </is>
      </c>
    </row>
    <row r="13" ht="32" customHeight="1">
      <c r="A13" s="16" t="inlineStr">
        <is>
          <t>奖品预算执行</t>
        </is>
      </c>
      <c r="B13" s="16" t="inlineStr">
        <is>
          <t>不超过已批预算</t>
        </is>
      </c>
      <c r="C13" s="16" t="inlineStr">
        <is>
          <t>以实际支出凭证核算</t>
        </is>
      </c>
      <c r="D13" s="16" t="inlineStr">
        <is>
          <t>待填写</t>
        </is>
      </c>
      <c r="E13" s="16" t="inlineStr">
        <is>
          <t>待复盘</t>
        </is>
      </c>
    </row>
  </sheetData>
  <autoFilter ref="A3:E13"/>
  <mergeCells count="2">
    <mergeCell ref="A2:E2"/>
    <mergeCell ref="A1:E1"/>
  </mergeCells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E10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6" customWidth="1" min="3" max="3"/>
    <col width="56" customWidth="1" min="4" max="4"/>
    <col width="14" customWidth="1" min="5" max="5"/>
  </cols>
  <sheetData>
    <row r="1" ht="28" customHeight="1">
      <c r="A1" s="12" t="inlineStr">
        <is>
          <t>规则待确认清单｜仅保留未决事项</t>
        </is>
      </c>
    </row>
    <row r="2" ht="32" customHeight="1">
      <c r="A2" s="13" t="inlineStr">
        <is>
          <t>积分、上限、平分、证据提交与申诉时限等规则已确认；以下事项仍需在正式公告 / 执行前落实。</t>
        </is>
      </c>
    </row>
    <row r="3" ht="32" customHeight="1">
      <c r="A3" s="14" t="inlineStr">
        <is>
          <t>编号</t>
        </is>
      </c>
      <c r="B3" s="14" t="inlineStr">
        <is>
          <t>待确认事项</t>
        </is>
      </c>
      <c r="C3" s="14" t="inlineStr">
        <is>
          <t>潜在风险</t>
        </is>
      </c>
      <c r="D3" s="14" t="inlineStr">
        <is>
          <t>建议动作</t>
        </is>
      </c>
      <c r="E3" s="14" t="inlineStr">
        <is>
          <t>状态</t>
        </is>
      </c>
    </row>
    <row r="4" ht="32" customHeight="1">
      <c r="A4" s="15" t="inlineStr">
        <is>
          <t>R01</t>
        </is>
      </c>
      <c r="B4" s="15" t="inlineStr">
        <is>
          <t>官方立牌具体款式、采购渠道与实际价格</t>
        </is>
      </c>
      <c r="C4" s="15" t="inlineStr">
        <is>
          <t>预算可能与实际采购支出不一致</t>
        </is>
      </c>
      <c r="D4" s="15" t="inlineStr">
        <is>
          <t>确认商品链接 / 采购凭证并更新预算。</t>
        </is>
      </c>
      <c r="E4" s="15" t="inlineStr">
        <is>
          <t>待确认</t>
        </is>
      </c>
    </row>
    <row r="5" ht="32" customHeight="1">
      <c r="A5" s="16" t="inlineStr">
        <is>
          <t>R02</t>
        </is>
      </c>
      <c r="B5" s="16" t="inlineStr">
        <is>
          <t>月卡类型、购买渠道、发放方式与实际价格</t>
        </is>
      </c>
      <c r="C5" s="16" t="inlineStr">
        <is>
          <t>奖品内容或领取体验不明确</t>
        </is>
      </c>
      <c r="D5" s="16" t="inlineStr">
        <is>
          <t>明确具体月卡及发放流程，核实单价。</t>
        </is>
      </c>
      <c r="E5" s="16" t="inlineStr">
        <is>
          <t>待确认</t>
        </is>
      </c>
    </row>
    <row r="6" ht="32" customHeight="1">
      <c r="A6" s="15" t="inlineStr">
        <is>
          <t>R03</t>
        </is>
      </c>
      <c r="B6" s="15" t="inlineStr">
        <is>
          <t>奖品领取截止时间与未领取处理</t>
        </is>
      </c>
      <c r="C6" s="15" t="inlineStr">
        <is>
          <t>奖品可能无法及时发放</t>
        </is>
      </c>
      <c r="D6" s="15" t="inlineStr">
        <is>
          <t>公告中写明领取期限、联系渠道与逾期处理。</t>
        </is>
      </c>
      <c r="E6" s="15" t="inlineStr">
        <is>
          <t>待确认</t>
        </is>
      </c>
    </row>
    <row r="7" ht="32" customHeight="1">
      <c r="A7" s="16" t="inlineStr">
        <is>
          <t>R04</t>
        </is>
      </c>
      <c r="B7" s="16" t="inlineStr">
        <is>
          <t>缺席、退赛、证据缺失的个案处理细则</t>
        </is>
      </c>
      <c r="C7" s="16" t="inlineStr">
        <is>
          <t>不同情况处理尺度可能不一致</t>
        </is>
      </c>
      <c r="D7" s="16" t="inlineStr">
        <is>
          <t>赛前公告具体处理原则；当前按组织方调查后个案处理。</t>
        </is>
      </c>
      <c r="E7" s="16" t="inlineStr">
        <is>
          <t>待确认</t>
        </is>
      </c>
    </row>
    <row r="8" ht="32" customHeight="1">
      <c r="A8" s="15" t="inlineStr">
        <is>
          <t>R05</t>
        </is>
      </c>
      <c r="B8" s="15" t="inlineStr">
        <is>
          <t>违规行为范围与处罚梯度</t>
        </is>
      </c>
      <c r="C8" s="15" t="inlineStr">
        <is>
          <t>出现作弊、伪造证据或恶意干扰时缺少统一依据</t>
        </is>
      </c>
      <c r="D8" s="15" t="inlineStr">
        <is>
          <t>列出违规类型、核查流程与处罚梯度。</t>
        </is>
      </c>
      <c r="E8" s="15" t="inlineStr">
        <is>
          <t>待确认</t>
        </is>
      </c>
    </row>
    <row r="9" ht="32" customHeight="1">
      <c r="A9" s="16" t="inlineStr">
        <is>
          <t>R06</t>
        </is>
      </c>
      <c r="B9" s="16" t="inlineStr">
        <is>
          <t>申诉提交渠道与最终裁定人</t>
        </is>
      </c>
      <c r="C9" s="16" t="inlineStr">
        <is>
          <t>参赛者不清楚向谁申诉、由谁作最终决定</t>
        </is>
      </c>
      <c r="D9" s="16" t="inlineStr">
        <is>
          <t>明确群内指定联系人 / 私聊渠道及最终裁定负责人。</t>
        </is>
      </c>
      <c r="E9" s="16" t="inlineStr">
        <is>
          <t>待确认</t>
        </is>
      </c>
    </row>
    <row r="10" ht="30" customHeight="1">
      <c r="A10" s="15" t="inlineStr">
        <is>
          <t>R07</t>
        </is>
      </c>
      <c r="B10" s="15" t="inlineStr">
        <is>
          <t>活动时间、报名截止时间、联系人</t>
        </is>
      </c>
      <c r="C10" s="15" t="inlineStr">
        <is>
          <t>对外公告信息尚不完整</t>
        </is>
      </c>
      <c r="D10" s="15" t="inlineStr">
        <is>
          <t>确认日期、时间、报名方式与责任人。</t>
        </is>
      </c>
      <c r="E10" s="15" t="inlineStr">
        <is>
          <t>待确认</t>
        </is>
      </c>
    </row>
  </sheetData>
  <autoFilter ref="A3:E9"/>
  <mergeCells count="2">
    <mergeCell ref="A2:E2"/>
    <mergeCell ref="A1:E1"/>
  </mergeCells>
  <conditionalFormatting sqref="E4:E9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E4:E9" showDropDown="0" showInputMessage="0" showErrorMessage="0" allowBlank="1" type="list">
      <formula1>"待确认,已确认,需修改,暂缓"</formula1>
    </dataValidation>
  </dataValidations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344A72"/>
    <outlinePr summaryBelow="1" summaryRight="1"/>
    <pageSetUpPr fitToPage="1"/>
  </sheetPr>
  <dimension ref="A1:C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0" customWidth="1" min="1" max="1"/>
    <col width="18" customWidth="1" min="2" max="2"/>
    <col width="40" customWidth="1" min="3" max="3"/>
  </cols>
  <sheetData>
    <row r="1" ht="28" customHeight="1">
      <c r="A1" s="12" t="inlineStr">
        <is>
          <t>对外发布前检查清单</t>
        </is>
      </c>
    </row>
    <row r="2" ht="32" customHeight="1">
      <c r="A2" s="13" t="inlineStr">
        <is>
          <t>正式发布前逐项检查；未确认事项需继续保留为内部筹备项。</t>
        </is>
      </c>
    </row>
    <row r="3" ht="32" customHeight="1">
      <c r="A3" s="14" t="inlineStr">
        <is>
          <t>检查项</t>
        </is>
      </c>
      <c r="B3" s="14" t="inlineStr">
        <is>
          <t>状态</t>
        </is>
      </c>
      <c r="C3" s="14" t="inlineStr">
        <is>
          <t>备注</t>
        </is>
      </c>
    </row>
    <row r="4" ht="32" customHeight="1">
      <c r="A4" s="15" t="inlineStr">
        <is>
          <t>活动日期、报名截止时间和联系人已确认</t>
        </is>
      </c>
      <c r="B4" s="15" t="inlineStr">
        <is>
          <t>待检查</t>
        </is>
      </c>
      <c r="C4" s="4" t="inlineStr"/>
    </row>
    <row r="5" ht="32" customHeight="1">
      <c r="A5" s="16" t="inlineStr">
        <is>
          <t>24 人、6 队、每队 4 人及每队两轮挑战安排已确认</t>
        </is>
      </c>
      <c r="B5" s="16" t="inlineStr">
        <is>
          <t>待检查</t>
        </is>
      </c>
      <c r="C5" s="5" t="inlineStr"/>
    </row>
    <row r="6" ht="32" customHeight="1">
      <c r="A6" s="15" t="inlineStr">
        <is>
          <t>积分规则已统一：单队单轮上限 5000 分；两轮取高分，不相加；超出上限部分不计入。</t>
        </is>
      </c>
      <c r="B6" s="15" t="inlineStr">
        <is>
          <t>待检查</t>
        </is>
      </c>
      <c r="C6" s="4" t="inlineStr"/>
    </row>
    <row r="7" ht="32" customHeight="1">
      <c r="A7" s="16" t="inlineStr">
        <is>
          <t>奖品方案已统一：第 1 名官方立牌×4；第 2 名月卡×4；第 3 名 20 元红包×4；第 4–6 名每人 6 元红包，共 12 份。</t>
        </is>
      </c>
      <c r="B7" s="16" t="inlineStr">
        <is>
          <t>待检查</t>
        </is>
      </c>
      <c r="C7" s="5" t="inlineStr"/>
    </row>
    <row r="8" ht="32" customHeight="1">
      <c r="A8" s="15" t="inlineStr">
        <is>
          <t>证据与时限已统一：每轮结束后 12 小时内提交；结果公布后 24 小时内可申诉；截图为主要证据，必要时可要求录像。</t>
        </is>
      </c>
      <c r="B8" s="15" t="inlineStr">
        <is>
          <t>待检查</t>
        </is>
      </c>
      <c r="C8" s="4" t="inlineStr"/>
    </row>
    <row r="9" ht="32" customHeight="1">
      <c r="A9" s="16" t="inlineStr">
        <is>
          <t>同分规则已统一：通关次数 → 隐藏 Boss → 5 金 → 4 金 → 3 金；仍相同则并列。</t>
        </is>
      </c>
      <c r="B9" s="16" t="inlineStr">
        <is>
          <t>待检查</t>
        </is>
      </c>
      <c r="C9" s="5" t="inlineStr"/>
    </row>
    <row r="10" ht="32" customHeight="1">
      <c r="A10" s="15" t="inlineStr">
        <is>
          <t>荣誉称号不设置；不要将原方案中的荣誉奖项作为独立奖项发布。</t>
        </is>
      </c>
      <c r="B10" s="15" t="inlineStr">
        <is>
          <t>待检查</t>
        </is>
      </c>
      <c r="C10" s="4" t="inlineStr"/>
    </row>
    <row r="11" ht="32" customHeight="1">
      <c r="A11" s="16" t="inlineStr">
        <is>
          <t>结果公示模板仅在真实审核完成后填写</t>
        </is>
      </c>
      <c r="B11" s="16" t="inlineStr">
        <is>
          <t>待检查</t>
        </is>
      </c>
      <c r="C11" s="5" t="inlineStr"/>
    </row>
    <row r="12" ht="32" customHeight="1">
      <c r="A12" s="15" t="inlineStr">
        <is>
          <t>所有占位符已替换，或明确保留为内部筹备项</t>
        </is>
      </c>
      <c r="B12" s="15" t="inlineStr">
        <is>
          <t>待检查</t>
        </is>
      </c>
      <c r="C12" s="4" t="inlineStr"/>
    </row>
  </sheetData>
  <autoFilter ref="A3:C12"/>
  <mergeCells count="2">
    <mergeCell ref="A1:C1"/>
    <mergeCell ref="A2:C2"/>
  </mergeCells>
  <conditionalFormatting sqref="B4:B12">
    <cfRule type="cellIs" priority="1" operator="equal" dxfId="0">
      <formula>"已确认"</formula>
    </cfRule>
    <cfRule type="cellIs" priority="2" operator="equal" dxfId="0">
      <formula>"已完成"</formula>
    </cfRule>
  </conditionalFormatting>
  <dataValidations count="1">
    <dataValidation sqref="B4:B12" showDropDown="0" showInputMessage="0" showErrorMessage="0" allowBlank="1" type="list">
      <formula1>"待检查,已完成,未完成,不适用"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2026-10-17T09:30:29Z</dcterms:created>
  <dcterms:modified xmlns:dcterms="http://purl.org/dc/terms/" xmlns:xsi="http://www.w3.org/2001/XMLSchema-instance" xsi:type="dcterms:W3CDTF">2026-10-17T14:31:55Z</dcterms:modified>
</cp:coreProperties>
</file>